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sh\Downloads\"/>
    </mc:Choice>
  </mc:AlternateContent>
  <xr:revisionPtr revIDLastSave="0" documentId="13_ncr:1_{16F0283C-1C25-4DBC-BFBE-8CB03E549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29" i="1" l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29"/>
  <sheetViews>
    <sheetView tabSelected="1" topLeftCell="A3" workbookViewId="0">
      <selection activeCell="A8" sqref="A8"/>
    </sheetView>
  </sheetViews>
  <sheetFormatPr defaultColWidth="11.19921875" defaultRowHeight="15" customHeight="1" x14ac:dyDescent="0.3"/>
  <cols>
    <col min="1" max="1" width="60.796875" customWidth="1"/>
  </cols>
  <sheetData>
    <row r="1" spans="1:1" ht="15.6" x14ac:dyDescent="0.3">
      <c r="A1" s="1" t="str">
        <f ca="1">IFERROR(__xludf.DUMMYFUNCTION("ARRAYFORMULA(GOOGLETRANSLATE(A:A, ""auto"", ""fa""))
"),"&lt;font color=""#FFFF00""&gt;(گروهی در نزدیکی رژه می‌روند)&lt;/font&gt;")</f>
        <v>&lt;font color="#FFFF00"&gt;(گروهی در نزدیکی رژه می‌روند)&lt;/font&gt;</v>
      </c>
    </row>
    <row r="2" spans="1:1" ht="15.6" x14ac:dyDescent="0.3">
      <c r="A2" s="1" t="str">
        <f ca="1">IFERROR(__xludf.DUMMYFUNCTION("ARRAYFORMULA(GOOGLETRANSLATE(A:A, ""auto"", ""fa""))
"),"&lt;b&gt;&lt;u&gt;&lt;i&gt;&lt;font color=""#FFA500""&gt;رنگی&lt;/font&gt; &lt;font color=""#FFFFFF""&gt;سلام&lt;/font&gt; &lt;font color=""#00FF00""&gt;SidBrothers_3&lt;/font&gt;&lt;/i&gt;&lt;/u&gt;&lt;b&gt;")</f>
        <v>&lt;b&gt;&lt;u&gt;&lt;i&gt;&lt;font color="#FFA500"&gt;رنگی&lt;/font&gt; &lt;font color="#FFFFFF"&gt;سلام&lt;/font&gt; &lt;font color="#00FF00"&gt;SidBrothers_3&lt;/font&gt;&lt;/i&gt;&lt;/u&gt;&lt;b&gt;</v>
      </c>
    </row>
    <row r="3" spans="1:1" ht="15.6" x14ac:dyDescent="0.3">
      <c r="A3" s="1" t="str">
        <f ca="1">IFERROR(__xludf.DUMMYFUNCTION("ARRAYFORMULA(GOOGLETRANSLATE(A:A, ""auto"", ""fa""))
"),"اینجا دابی آرمیده است.")</f>
        <v>اینجا دابی آرمیده است.</v>
      </c>
    </row>
    <row r="4" spans="1:1" ht="15.6" x14ac:dyDescent="0.3">
      <c r="A4" s="1" t="str">
        <f ca="1">IFERROR(__xludf.DUMMYFUNCTION("ARRAYFORMULA(GOOGLETRANSLATE(A:A, ""auto"", ""fa""))
"),"اینجا زیباست.")</f>
        <v>اینجا زیباست.</v>
      </c>
    </row>
    <row r="5" spans="1:1" ht="15.6" x14ac:dyDescent="0.3">
      <c r="A5" s="1" t="str">
        <f ca="1">IFERROR(__xludf.DUMMYFUNCTION("ARRAYFORMULA(GOOGLETRANSLATE(A:A, ""auto"", ""fa""))
"),"مال عمه‌مان بود.")</f>
        <v>مال عمه‌مان بود.</v>
      </c>
    </row>
    <row r="6" spans="1:1" ht="15.6" x14ac:dyDescent="0.3">
      <c r="A6" s="1" t="str">
        <f ca="1">IFERROR(__xludf.DUMMYFUNCTION("ARRAYFORMULA(GOOGLETRANSLATE(A:A, ""auto"", ""fa""))
"),"ما بچه که بودیم اینجا می‌آمدیم.")</f>
        <v>ما بچه که بودیم اینجا می‌آمدیم.</v>
      </c>
    </row>
    <row r="7" spans="1:1" ht="15.6" x14ac:dyDescent="0.3">
      <c r="A7" s="1" t="str">
        <f ca="1">IFERROR(__xludf.DUMMYFUNCTION("ARRAYFORMULA(GOOGLETRANSLATE(A:A, ""auto"", ""fa""))
"),"فرقه اکنون از آن به عنوان یک خانه امن استفاده می‌کند.")</f>
        <v>فرقه اکنون از آن به عنوان یک خانه امن استفاده می‌کند.</v>
      </c>
    </row>
    <row r="8" spans="1:1" ht="15.6" x14ac:dyDescent="0.3">
      <c r="A8" s="1" t="str">
        <f ca="1">IFERROR(__xludf.DUMMYFUNCTION("ARRAYFORMULA(GOOGLETRANSLATE(A:A, ""auto"", ""fa""))
"),"حداقل از ما چی مونده.")</f>
        <v>حداقل از ما چی مونده.</v>
      </c>
    </row>
    <row r="9" spans="1:1" ht="15.6" x14ac:dyDescent="0.3">
      <c r="A9" s="1" t="str">
        <f ca="1">IFERROR(__xludf.DUMMYFUNCTION("ARRAYFORMULA(GOOGLETRANSLATE(A:A, ""auto"", ""fa""))
"),"ماگل‌ها فکر می‌کنند که اینها شیطان را دور نگه می‌دارند، اما اشتباه می‌کنند.")</f>
        <v>ماگل‌ها فکر می‌کنند که اینها شیطان را دور نگه می‌دارند، اما اشتباه می‌کنند.</v>
      </c>
    </row>
    <row r="10" spans="1:1" ht="15.6" x14ac:dyDescent="0.3">
      <c r="A10" s="1" t="str">
        <f ca="1">IFERROR(__xludf.DUMMYFUNCTION("ARRAYFORMULA(GOOGLETRANSLATE(A:A, ""auto"", ""fa""))
"),"من باید با گابلین صحبت کنم.")</f>
        <v>من باید با گابلین صحبت کنم.</v>
      </c>
    </row>
    <row r="11" spans="1:1" ht="15.6" x14ac:dyDescent="0.3">
      <c r="A11" s="1" t="str">
        <f ca="1">IFERROR(__xludf.DUMMYFUNCTION("ARRAYFORMULA(GOOGLETRANSLATE(A:A, ""auto"", ""fa""))
"),"حالتون چطوره؟")</f>
        <v>حالتون چطوره؟</v>
      </c>
    </row>
    <row r="12" spans="1:1" ht="15.6" x14ac:dyDescent="0.3">
      <c r="A12" s="1" t="str">
        <f ca="1">IFERROR(__xludf.DUMMYFUNCTION("ARRAYFORMULA(GOOGLETRANSLATE(A:A, ""auto"", ""fa""))
"),"زنده.")</f>
        <v>زنده.</v>
      </c>
    </row>
    <row r="13" spans="1:1" ht="15.6" x14ac:dyDescent="0.3">
      <c r="A13" s="1" t="str">
        <f ca="1">IFERROR(__xludf.DUMMYFUNCTION("ARRAYFORMULA(GOOGLETRANSLATE(A:A, ""auto"", ""fa""))
"),"احتمالاً یادت نیست...")</f>
        <v>احتمالاً یادت نیست...</v>
      </c>
    </row>
    <row r="14" spans="1:1" ht="15.6" x14ac:dyDescent="0.3">
      <c r="A14" s="1" t="str">
        <f ca="1">IFERROR(__xludf.DUMMYFUNCTION("ARRAYFORMULA(GOOGLETRANSLATE(A:A, ""auto"", ""fa""))
"),"که اولین باری که به گرینگوتز آمدی، صندوق اماناتت را به تو نشان دادم؟")</f>
        <v>که اولین باری که به گرینگوتز آمدی، صندوق اماناتت را به تو نشان دادم؟</v>
      </c>
    </row>
    <row r="15" spans="1:1" ht="15.6" x14ac:dyDescent="0.3">
      <c r="A15" s="1" t="str">
        <f ca="1">IFERROR(__xludf.DUMMYFUNCTION("ARRAYFORMULA(GOOGLETRANSLATE(A:A, ""auto"", ""fa""))
"),"حتی بین گابلین‌ها هم تو معروفی، هری پاتر.")</f>
        <v>حتی بین گابلین‌ها هم تو معروفی، هری پاتر.</v>
      </c>
    </row>
    <row r="16" spans="1:1" ht="15.6" x14ac:dyDescent="0.3">
      <c r="A16" s="1" t="str">
        <f ca="1">IFERROR(__xludf.DUMMYFUNCTION("ARRAYFORMULA(GOOGLETRANSLATE(A:A, ""auto"", ""fa""))
"),"تو جن رو دفن کردی.")</f>
        <v>تو جن رو دفن کردی.</v>
      </c>
    </row>
    <row r="17" spans="1:1" ht="15.6" x14ac:dyDescent="0.3">
      <c r="A17" s="1" t="str">
        <f ca="1">IFERROR(__xludf.DUMMYFUNCTION("ARRAYFORMULA(GOOGLETRANSLATE(A:A, ""auto"", ""fa""))
"),"بله.")</f>
        <v>بله.</v>
      </c>
    </row>
    <row r="18" spans="1:1" ht="15.6" x14ac:dyDescent="0.3">
      <c r="A18" s="1" t="str">
        <f ca="1">IFERROR(__xludf.DUMMYFUNCTION("ARRAYFORMULA(GOOGLETRANSLATE(A:A, ""auto"", ""fa""))
"),"&lt;font color=""#FF0000""&gt;گریفوک:&lt;/font&gt; و من را اینجا آورد.")</f>
        <v>&lt;font color="#FF0000"&gt;گریفوک:&lt;/font&gt; و من را اینجا آورد.</v>
      </c>
    </row>
    <row r="19" spans="1:1" ht="15.6" x14ac:dyDescent="0.3">
      <c r="A19" s="1" t="str">
        <f ca="1">IFERROR(__xludf.DUMMYFUNCTION("ARRAYFORMULA(GOOGLETRANSLATE(A:A, ""auto"", ""fa""))
"),"تو ... هستی.")</f>
        <v>تو ... هستی.</v>
      </c>
    </row>
    <row r="20" spans="1:1" ht="15.6" x14ac:dyDescent="0.3">
      <c r="A20" s="1" t="str">
        <f ca="1">IFERROR(__xludf.DUMMYFUNCTION("ARRAYFORMULA(GOOGLETRANSLATE(A:A, ""auto"", ""fa""))
"),"... یک جادوگر بسیار غیرمعمول.")</f>
        <v>... یک جادوگر بسیار غیرمعمول.</v>
      </c>
    </row>
    <row r="21" spans="1:1" ht="15.75" customHeight="1" x14ac:dyDescent="0.3">
      <c r="A21" s="1" t="str">
        <f ca="1">IFERROR(__xludf.DUMMYFUNCTION("ARRAYFORMULA(GOOGLETRANSLATE(A:A, ""auto"", ""fa""))
"),"چطور با این شمشیر اومدی؟")</f>
        <v>چطور با این شمشیر اومدی؟</v>
      </c>
    </row>
    <row r="22" spans="1:1" ht="15.75" customHeight="1" x14ac:dyDescent="0.3">
      <c r="A22" s="1" t="str">
        <f ca="1">IFERROR(__xludf.DUMMYFUNCTION("ARRAYFORMULA(GOOGLETRANSLATE(A:A, ""auto"", ""fa""))
"),"پیچیده است.")</f>
        <v>پیچیده است.</v>
      </c>
    </row>
    <row r="23" spans="1:1" ht="15.75" customHeight="1" x14ac:dyDescent="0.3">
      <c r="A23" s="1" t="str">
        <f ca="1">IFERROR(__xludf.DUMMYFUNCTION("ARRAYFORMULA(GOOGLETRANSLATE(A:A, ""auto"", ""fa""))
"),"چرا بلاتریکس لسترنج فکر می‌کرد که باید آن را در گاوصندوقش در گرینگوتز نگه دارد؟")</f>
        <v>چرا بلاتریکس لسترنج فکر می‌کرد که باید آن را در گاوصندوقش در گرینگوتز نگه دارد؟</v>
      </c>
    </row>
    <row r="24" spans="1:1" ht="15.75" customHeight="1" x14ac:dyDescent="0.3">
      <c r="A24" s="1" t="str">
        <f ca="1">IFERROR(__xludf.DUMMYFUNCTION("ARRAYFORMULA(GOOGLETRANSLATE(A:A, ""auto"", ""fa""))
"),"پیچیده است.")</f>
        <v>پیچیده است.</v>
      </c>
    </row>
    <row r="25" spans="1:1" ht="15.75" customHeight="1" x14ac:dyDescent="0.3">
      <c r="A25" s="1" t="str">
        <f ca="1">IFERROR(__xludf.DUMMYFUNCTION("ARRAYFORMULA(GOOGLETRANSLATE(A:A, ""auto"", ""fa""))
"),"شمشیر در لحظه نیاز خود را به ما نشان داد.")</f>
        <v>شمشیر در لحظه نیاز خود را به ما نشان داد.</v>
      </c>
    </row>
    <row r="26" spans="1:1" ht="15.75" customHeight="1" x14ac:dyDescent="0.3">
      <c r="A26" s="1" t="str">
        <f ca="1">IFERROR(__xludf.DUMMYFUNCTION("ARRAYFORMULA(GOOGLETRANSLATE(A:A, ""auto"", ""fa""))
"),"ما آن را ندزدیده‌ایم.")</f>
        <v>ما آن را ندزدیده‌ایم.</v>
      </c>
    </row>
    <row r="27" spans="1:1" ht="15.75" customHeight="1" x14ac:dyDescent="0.3">
      <c r="A27" s="1" t="str">
        <f ca="1">IFERROR(__xludf.DUMMYFUNCTION("ARRAYFORMULA(GOOGLETRANSLATE(A:A, ""auto"", ""fa""))
"),"شمشیری در خزانه مادام لسترنج وجود دارد که دقیقاً شبیه این است...")</f>
        <v>شمشیری در خزانه مادام لسترنج وجود دارد که دقیقاً شبیه این است...</v>
      </c>
    </row>
    <row r="28" spans="1:1" ht="15.75" customHeight="1" x14ac:dyDescent="0.3">
      <c r="A28" s="1" t="str">
        <f ca="1">IFERROR(__xludf.DUMMYFUNCTION("ARRAYFORMULA(GOOGLETRANSLATE(A:A, ""auto"", ""fa""))
"),"... اما این یک جعلی است.")</f>
        <v>... اما این یک جعلی است.</v>
      </c>
    </row>
    <row r="29" spans="1:1" ht="15.75" customHeight="1" x14ac:dyDescent="0.3">
      <c r="A29" s="1" t="str">
        <f ca="1">IFERROR(__xludf.DUMMYFUNCTION("ARRAYFORMULA(GOOGLETRANSLATE(A:A, ""auto"", ""fa""))
"),"تابستان امسال آنجا گذاشته شد.")</f>
        <v>تابستان امسال آنجا گذاشته شد.</v>
      </c>
    </row>
    <row r="30" spans="1:1" ht="15.75" customHeight="1" x14ac:dyDescent="0.3">
      <c r="A30" s="1" t="str">
        <f ca="1">IFERROR(__xludf.DUMMYFUNCTION("ARRAYFORMULA(GOOGLETRANSLATE(A:A, ""auto"", ""fa""))
"),"و او هرگز شک نکرد که تقلبی است؟
کپی بسیار متقاعدکننده است.")</f>
        <v>و او هرگز شک نکرد که تقلبی است؟
کپی بسیار متقاعدکننده است.</v>
      </c>
    </row>
    <row r="31" spans="1:1" ht="15.75" customHeight="1" x14ac:dyDescent="0.3">
      <c r="A31" s="1" t="str">
        <f ca="1">IFERROR(__xludf.DUMMYFUNCTION("ARRAYFORMULA(GOOGLETRANSLATE(A:A, ""auto"", ""fa""))
"),"فقط یک گابلین می‌تواند تشخیص دهد که این شمشیر واقعی گریفیندور است.")</f>
        <v>فقط یک گابلین می‌تواند تشخیص دهد که این شمشیر واقعی گریفیندور است.</v>
      </c>
    </row>
    <row r="32" spans="1:1" ht="15.75" customHeight="1" x14ac:dyDescent="0.3">
      <c r="A32" s="1" t="str">
        <f ca="1">IFERROR(__xludf.DUMMYFUNCTION("ARRAYFORMULA(GOOGLETRANSLATE(A:A, ""auto"", ""fa""))
"),"آشنا کیست؟")</f>
        <v>آشنا کیست؟</v>
      </c>
    </row>
    <row r="33" spans="1:1" ht="15.75" customHeight="1" x14ac:dyDescent="0.3">
      <c r="A33" s="1" t="str">
        <f ca="1">IFERROR(__xludf.DUMMYFUNCTION("ARRAYFORMULA(GOOGLETRANSLATE(A:A, ""auto"", ""fa""))
"),"استاد هاگوارتز. تا جایی که من متوجه شدم، او الان مدیر است.")</f>
        <v>استاد هاگوارتز. تا جایی که من متوجه شدم، او الان مدیر است.</v>
      </c>
    </row>
    <row r="34" spans="1:1" ht="15.75" customHeight="1" x14ac:dyDescent="0.3">
      <c r="A34" s="1" t="str">
        <f ca="1">IFERROR(__xludf.DUMMYFUNCTION("ARRAYFORMULA(GOOGLETRANSLATE(A:A, ""auto"", ""fa""))
"),"اسنیپ؟")</f>
        <v>اسنیپ؟</v>
      </c>
    </row>
    <row r="35" spans="1:1" ht="15.75" customHeight="1" x14ac:dyDescent="0.3">
      <c r="A35" s="1" t="str">
        <f ca="1">IFERROR(__xludf.DUMMYFUNCTION("ARRAYFORMULA(GOOGLETRANSLATE(A:A, ""auto"", ""fa""))
"),"اون یه شمشیر قلابی تو گاوصندوق بلاتریکس گذاشت؟")</f>
        <v>اون یه شمشیر قلابی تو گاوصندوق بلاتریکس گذاشت؟</v>
      </c>
    </row>
    <row r="36" spans="1:1" ht="15.75" customHeight="1" x14ac:dyDescent="0.3">
      <c r="A36" s="1" t="str">
        <f ca="1">IFERROR(__xludf.DUMMYFUNCTION("ARRAYFORMULA(GOOGLETRANSLATE(A:A, ""auto"", ""fa""))
"),"چرا؟")</f>
        <v>چرا؟</v>
      </c>
    </row>
    <row r="37" spans="1:1" ht="15.75" customHeight="1" x14ac:dyDescent="0.3">
      <c r="A37" s="1" t="str">
        <f ca="1">IFERROR(__xludf.DUMMYFUNCTION("ARRAYFORMULA(GOOGLETRANSLATE(A:A, ""auto"", ""fa""))
"),"چیزهای عجیب و غریب زیادی در گاوصندوق‌های گرینگوتز وجود دارد.")</f>
        <v>چیزهای عجیب و غریب زیادی در گاوصندوق‌های گرینگوتز وجود دارد.</v>
      </c>
    </row>
    <row r="38" spans="1:1" ht="15.75" customHeight="1" x14ac:dyDescent="0.3">
      <c r="A38" s="1" t="str">
        <f ca="1">IFERROR(__xludf.DUMMYFUNCTION("ARRAYFORMULA(GOOGLETRANSLATE(A:A, ""auto"", ""fa""))
"),"و همچنین در خزانه خانم لسترنج؟")</f>
        <v>و همچنین در خزانه خانم لسترنج؟</v>
      </c>
    </row>
    <row r="39" spans="1:1" ht="15.75" customHeight="1" x14ac:dyDescent="0.3">
      <c r="A39" s="1" t="str">
        <f ca="1">IFERROR(__xludf.DUMMYFUNCTION("ARRAYFORMULA(GOOGLETRANSLATE(A:A, ""auto"", ""fa""))
"),"شاید.")</f>
        <v>شاید.</v>
      </c>
    </row>
    <row r="40" spans="1:1" ht="15.75" customHeight="1" x14ac:dyDescent="0.3">
      <c r="A40" s="1" t="str">
        <f ca="1">IFERROR(__xludf.DUMMYFUNCTION("ARRAYFORMULA(GOOGLETRANSLATE(A:A, ""auto"", ""fa""))
"),"من باید برم گرینگوتز. برم تو یکی از گاوصندوق‌ها.")</f>
        <v>من باید برم گرینگوتز. برم تو یکی از گاوصندوق‌ها.</v>
      </c>
    </row>
    <row r="41" spans="1:1" ht="15.75" customHeight="1" x14ac:dyDescent="0.3">
      <c r="A41" s="1" t="str">
        <f ca="1">IFERROR(__xludf.DUMMYFUNCTION("ARRAYFORMULA(GOOGLETRANSLATE(A:A, ""auto"", ""fa""))
"),"این غیرممکن است.")</f>
        <v>این غیرممکن است.</v>
      </c>
    </row>
    <row r="42" spans="1:1" ht="15.75" customHeight="1" x14ac:dyDescent="0.3">
      <c r="A42" s="1" t="str">
        <f ca="1">IFERROR(__xludf.DUMMYFUNCTION("ARRAYFORMULA(GOOGLETRANSLATE(A:A, ""auto"", ""fa""))
"),"تنها، آره. اما با تو، نه.")</f>
        <v>تنها، آره. اما با تو، نه.</v>
      </c>
    </row>
    <row r="43" spans="1:1" ht="15.75" customHeight="1" x14ac:dyDescent="0.3">
      <c r="A43" s="1" t="str">
        <f ca="1">IFERROR(__xludf.DUMMYFUNCTION("ARRAYFORMULA(GOOGLETRANSLATE(A:A, ""auto"", ""fa""))
"),"&lt;font color=""#FF0000""&gt;گریفوک:&lt;/font&gt; چرا باید بهت کمک کنم؟")</f>
        <v>&lt;font color="#FF0000"&gt;گریفوک:&lt;/font&gt; چرا باید بهت کمک کنم؟</v>
      </c>
    </row>
    <row r="44" spans="1:1" ht="15.75" customHeight="1" x14ac:dyDescent="0.3">
      <c r="A44" s="1" t="str">
        <f ca="1">IFERROR(__xludf.DUMMYFUNCTION("ARRAYFORMULA(GOOGLETRANSLATE(A:A, ""auto"", ""fa""))
"),"من طلا دارم. کلی هم طلا.")</f>
        <v>من طلا دارم. کلی هم طلا.</v>
      </c>
    </row>
    <row r="45" spans="1:1" ht="15.75" customHeight="1" x14ac:dyDescent="0.3">
      <c r="A45" s="1" t="str">
        <f ca="1">IFERROR(__xludf.DUMMYFUNCTION("ARRAYFORMULA(GOOGLETRANSLATE(A:A, ""auto"", ""fa""))
"),"من هیچ علاقه‌ای به طلا ندارم.
&lt;font color=""#FF0000""&gt;هری:&lt;/font&gt; بعدش چی؟")</f>
        <v>من هیچ علاقه‌ای به طلا ندارم.
&lt;font color="#FF0000"&gt;هری:&lt;/font&gt; بعدش چی؟</v>
      </c>
    </row>
    <row r="46" spans="1:1" ht="15.75" customHeight="1" x14ac:dyDescent="0.3">
      <c r="A46" s="1" t="str">
        <f ca="1">IFERROR(__xludf.DUMMYFUNCTION("ARRAYFORMULA(GOOGLETRANSLATE(A:A, ""auto"", ""fa""))
"),"اینکه.")</f>
        <v>اینکه.</v>
      </c>
    </row>
    <row r="47" spans="1:1" ht="15.75" customHeight="1" x14ac:dyDescent="0.3">
      <c r="A47" s="1" t="str">
        <f ca="1">IFERROR(__xludf.DUMMYFUNCTION("ARRAYFORMULA(GOOGLETRANSLATE(A:A, ""auto"", ""fa""))
"),"قیمت من همین است.")</f>
        <v>قیمت من همین است.</v>
      </c>
    </row>
    <row r="48" spans="1:1" ht="15.75" customHeight="1" x14ac:dyDescent="0.3">
      <c r="A48" s="1" t="str">
        <f ca="1">IFERROR(__xludf.DUMMYFUNCTION("ARRAYFORMULA(GOOGLETRANSLATE(A:A, ""auto"", ""fa""))
"),"&lt;font color=""#FF0000""&gt;هرمیون:&lt;/font&gt; فکر می‌کنی یه هورکراکس تو خزانه‌ی بلاتریکس هست؟")</f>
        <v>&lt;font color="#FF0000"&gt;هرمیون:&lt;/font&gt; فکر می‌کنی یه هورکراکس تو خزانه‌ی بلاتریکس هست؟</v>
      </c>
    </row>
    <row r="49" spans="1:1" ht="15.75" customHeight="1" x14ac:dyDescent="0.3">
      <c r="A49" s="1" t="str">
        <f ca="1">IFERROR(__xludf.DUMMYFUNCTION("ARRAYFORMULA(GOOGLETRANSLATE(A:A, ""auto"", ""fa""))
"),"&lt;font color=""#FF0000""&gt;هری:&lt;/font&gt; وقتی فکر کرد ما آنجا بوده‌ایم، وحشت کرد.")</f>
        <v>&lt;font color="#FF0000"&gt;هری:&lt;/font&gt; وقتی فکر کرد ما آنجا بوده‌ایم، وحشت کرد.</v>
      </c>
    </row>
    <row r="50" spans="1:1" ht="15.75" customHeight="1" x14ac:dyDescent="0.3">
      <c r="A50" s="1" t="str">
        <f ca="1">IFERROR(__xludf.DUMMYFUNCTION("ARRAYFORMULA(GOOGLETRANSLATE(A:A, ""auto"", ""fa""))
"),"مدام ازت می‌پرسید دیگه چی برداشتیم.")</f>
        <v>مدام ازت می‌پرسید دیگه چی برداشتیم.</v>
      </c>
    </row>
    <row r="51" spans="1:1" ht="15.75" customHeight="1" x14ac:dyDescent="0.3">
      <c r="A51" s="1" t="str">
        <f ca="1">IFERROR(__xludf.DUMMYFUNCTION("ARRAYFORMULA(GOOGLETRANSLATE(A:A, ""auto"", ""fa""))
"),"شرط می‌بندم یه هورکراکس اونجاست، یه تیکه دیگه از روحش.")</f>
        <v>شرط می‌بندم یه هورکراکس اونجاست، یه تیکه دیگه از روحش.</v>
      </c>
    </row>
    <row r="52" spans="1:1" ht="15.75" customHeight="1" x14ac:dyDescent="0.3">
      <c r="A52" s="1" t="str">
        <f ca="1">IFERROR(__xludf.DUMMYFUNCTION("ARRAYFORMULA(GOOGLETRANSLATE(A:A, ""auto"", ""fa""))
"),"بیایید پیدایش کنیم و بکشیمش، یک قدم به کشتنش نزدیک‌تر شده‌ایم.")</f>
        <v>بیایید پیدایش کنیم و بکشیمش، یک قدم به کشتنش نزدیک‌تر شده‌ایم.</v>
      </c>
    </row>
    <row r="53" spans="1:1" ht="15.75" customHeight="1" x14ac:dyDescent="0.3">
      <c r="A53" s="1" t="str">
        <f ca="1">IFERROR(__xludf.DUMMYFUNCTION("ARRAYFORMULA(GOOGLETRANSLATE(A:A, ""auto"", ""fa""))
"),"&lt;font color=""#FF0000""&gt;رون:&lt;/font&gt; و وقتی پیداش کنیم چی میشه؟")</f>
        <v>&lt;font color="#FF0000"&gt;رون:&lt;/font&gt; و وقتی پیداش کنیم چی میشه؟</v>
      </c>
    </row>
    <row r="54" spans="1:1" ht="15.75" customHeight="1" x14ac:dyDescent="0.3">
      <c r="A54" s="1" t="str">
        <f ca="1">IFERROR(__xludf.DUMMYFUNCTION("ARRAYFORMULA(GOOGLETRANSLATE(A:A, ""auto"", ""fa""))
"),"حالا چطور قرار است آن را نابود کنیم - تو شمشیر را به گریپهوک داده‌ای؟")</f>
        <v>حالا چطور قرار است آن را نابود کنیم - تو شمشیر را به گریپهوک داده‌ای؟</v>
      </c>
    </row>
    <row r="55" spans="1:1" ht="15.75" customHeight="1" x14ac:dyDescent="0.3">
      <c r="A55" s="1" t="str">
        <f ca="1">IFERROR(__xludf.DUMMYFUNCTION("ARRAYFORMULA(GOOGLETRANSLATE(A:A, ""auto"", ""fa""))
"),"&lt;font color=""#FF0000""&gt;هری:&lt;/font&gt; من هنوز دارم رو اون قسمت کار می‌کنم.")</f>
        <v>&lt;font color="#FF0000"&gt;هری:&lt;/font&gt; من هنوز دارم رو اون قسمت کار می‌کنم.</v>
      </c>
    </row>
    <row r="56" spans="1:1" ht="15.75" customHeight="1" x14ac:dyDescent="0.3">
      <c r="A56" s="1" t="str">
        <f ca="1">IFERROR(__xludf.DUMMYFUNCTION("ARRAYFORMULA(GOOGLETRANSLATE(A:A, ""auto"", ""fa""))
"),"او ضعیف است.")</f>
        <v>او ضعیف است.</v>
      </c>
    </row>
    <row r="57" spans="1:1" ht="15.75" customHeight="1" x14ac:dyDescent="0.3">
      <c r="A57" s="1" t="str">
        <f ca="1">IFERROR(__xludf.DUMMYFUNCTION("ARRAYFORMULA(GOOGLETRANSLATE(A:A, ""auto"", ""fa""))
"),"بله؟")</f>
        <v>بله؟</v>
      </c>
    </row>
    <row r="58" spans="1:1" ht="15.75" customHeight="1" x14ac:dyDescent="0.3">
      <c r="A58" s="1" t="str">
        <f ca="1">IFERROR(__xludf.DUMMYFUNCTION("ARRAYFORMULA(GOOGLETRANSLATE(A:A, ""auto"", ""fa""))
"),"آقای اولیوندر، باید چند سوال از شما بپرسم.")</f>
        <v>آقای اولیوندر، باید چند سوال از شما بپرسم.</v>
      </c>
    </row>
    <row r="59" spans="1:1" ht="15.75" customHeight="1" x14ac:dyDescent="0.3">
      <c r="A59" s="1" t="str">
        <f ca="1">IFERROR(__xludf.DUMMYFUNCTION("ARRAYFORMULA(GOOGLETRANSLATE(A:A, ""auto"", ""fa""))
"),"&lt;font color=""#FF0000""&gt;اولیوندر:&lt;/font&gt; هر چیزی، پسرم، هر چیزی.")</f>
        <v>&lt;font color="#FF0000"&gt;اولیوندر:&lt;/font&gt; هر چیزی، پسرم، هر چیزی.</v>
      </c>
    </row>
    <row r="60" spans="1:1" ht="15.75" customHeight="1" x14ac:dyDescent="0.3">
      <c r="A60" s="1" t="str">
        <f ca="1">IFERROR(__xludf.DUMMYFUNCTION("ARRAYFORMULA(GOOGLETRANSLATE(A:A, ""auto"", ""fa""))
"),"&lt;font color=""#FF0000""&gt;هری:&lt;/font&gt; میشه لطفا این چوبدستی رو معرفی کنید؟")</f>
        <v>&lt;font color="#FF0000"&gt;هری:&lt;/font&gt; میشه لطفا این چوبدستی رو معرفی کنید؟</v>
      </c>
    </row>
    <row r="61" spans="1:1" ht="15.75" customHeight="1" x14ac:dyDescent="0.3">
      <c r="A61" s="1" t="str">
        <f ca="1">IFERROR(__xludf.DUMMYFUNCTION("ARRAYFORMULA(GOOGLETRANSLATE(A:A, ""auto"", ""fa""))
"),"ما باید بدانیم که آیا استفاده از آن بی‌خطر است یا خیر.")</f>
        <v>ما باید بدانیم که آیا استفاده از آن بی‌خطر است یا خیر.</v>
      </c>
    </row>
    <row r="62" spans="1:1" ht="15.75" customHeight="1" x14ac:dyDescent="0.3">
      <c r="A62" s="1" t="str">
        <f ca="1">IFERROR(__xludf.DUMMYFUNCTION("ARRAYFORMULA(GOOGLETRANSLATE(A:A, ""auto"", ""fa""))
"),"گردو")</f>
        <v>گردو</v>
      </c>
    </row>
    <row r="63" spans="1:1" ht="15.75" customHeight="1" x14ac:dyDescent="0.3">
      <c r="A63" s="1" t="str">
        <f ca="1">IFERROR(__xludf.DUMMYFUNCTION("ARRAYFORMULA(GOOGLETRANSLATE(A:A, ""auto"", ""fa""))
"),"ریسه قلب اژدها.")</f>
        <v>ریسه قلب اژدها.</v>
      </c>
    </row>
    <row r="64" spans="1:1" ht="15.75" customHeight="1" x14ac:dyDescent="0.3">
      <c r="A64" s="1" t="str">
        <f ca="1">IFERROR(__xludf.DUMMYFUNCTION("ARRAYFORMULA(GOOGLETRANSLATE(A:A, ""auto"", ""fa""))
"),"دوازده و سه چهارم اینچ.")</f>
        <v>دوازده و سه چهارم اینچ.</v>
      </c>
    </row>
    <row r="65" spans="1:1" ht="15.75" customHeight="1" x14ac:dyDescent="0.3">
      <c r="A65" s="1" t="str">
        <f ca="1">IFERROR(__xludf.DUMMYFUNCTION("ARRAYFORMULA(GOOGLETRANSLATE(A:A, ""auto"", ""fa""))
"),"شماها...")</f>
        <v>شماها...</v>
      </c>
    </row>
    <row r="66" spans="1:1" ht="15.75" customHeight="1" x14ac:dyDescent="0.3">
      <c r="A66" s="1" t="str">
        <f ca="1">IFERROR(__xludf.DUMMYFUNCTION("ARRAYFORMULA(GOOGLETRANSLATE(A:A, ""auto"", ""fa""))
"),"تسلیم ناپذیر.")</f>
        <v>تسلیم ناپذیر.</v>
      </c>
    </row>
    <row r="67" spans="1:1" ht="15.75" customHeight="1" x14ac:dyDescent="0.3">
      <c r="A67" s="1" t="str">
        <f ca="1">IFERROR(__xludf.DUMMYFUNCTION("ARRAYFORMULA(GOOGLETRANSLATE(A:A, ""auto"", ""fa""))
"),"این مال بلاتریکس لسترنج بود.")</f>
        <v>این مال بلاتریکس لسترنج بود.</v>
      </c>
    </row>
    <row r="68" spans="1:1" ht="15.75" customHeight="1" x14ac:dyDescent="0.3">
      <c r="A68" s="1" t="str">
        <f ca="1">IFERROR(__xludf.DUMMYFUNCTION("ARRAYFORMULA(GOOGLETRANSLATE(A:A, ""auto"", ""fa""))
"),"با دقت با آن رفتار کنید.")</f>
        <v>با دقت با آن رفتار کنید.</v>
      </c>
    </row>
    <row r="69" spans="1:1" ht="15.75" customHeight="1" x14ac:dyDescent="0.3">
      <c r="A69" s="1" t="str">
        <f ca="1">IFERROR(__xludf.DUMMYFUNCTION("ARRAYFORMULA(GOOGLETRANSLATE(A:A, ""auto"", ""fa""))
"),"و این؟")</f>
        <v>و این؟</v>
      </c>
    </row>
    <row r="70" spans="1:1" ht="15.75" customHeight="1" x14ac:dyDescent="0.3">
      <c r="A70" s="1" t="str">
        <f ca="1">IFERROR(__xludf.DUMMYFUNCTION("ARRAYFORMULA(GOOGLETRANSLATE(A:A, ""auto"", ""fa""))
"),"زالزالک")</f>
        <v>زالزالک</v>
      </c>
    </row>
    <row r="71" spans="1:1" ht="15.75" customHeight="1" x14ac:dyDescent="0.3">
      <c r="A71" s="1" t="str">
        <f ca="1">IFERROR(__xludf.DUMMYFUNCTION("ARRAYFORMULA(GOOGLETRANSLATE(A:A, ""auto"", ""fa""))
"),"و موهای تک شاخ.")</f>
        <v>و موهای تک شاخ.</v>
      </c>
    </row>
    <row r="72" spans="1:1" ht="15.75" customHeight="1" x14ac:dyDescent="0.3">
      <c r="A72" s="1" t="str">
        <f ca="1">IFERROR(__xludf.DUMMYFUNCTION("ARRAYFORMULA(GOOGLETRANSLATE(A:A, ""auto"", ""fa""))
"),"ده اینچ. نسبتاً نرم.")</f>
        <v>ده اینچ. نسبتاً نرم.</v>
      </c>
    </row>
    <row r="73" spans="1:1" ht="15.75" customHeight="1" x14ac:dyDescent="0.3">
      <c r="A73" s="1" t="str">
        <f ca="1">IFERROR(__xludf.DUMMYFUNCTION("ARRAYFORMULA(GOOGLETRANSLATE(A:A, ""auto"", ""fa""))
"),"این چوبدستی دراکو مالفوی بود.")</f>
        <v>این چوبدستی دراکو مالفوی بود.</v>
      </c>
    </row>
    <row r="74" spans="1:1" ht="15.75" customHeight="1" x14ac:dyDescent="0.3">
      <c r="A74" s="1" t="str">
        <f ca="1">IFERROR(__xludf.DUMMYFUNCTION("ARRAYFORMULA(GOOGLETRANSLATE(A:A, ""auto"", ""fa""))
"),"بود؟ آیا هنوز نیست؟")</f>
        <v>بود؟ آیا هنوز نیست؟</v>
      </c>
    </row>
    <row r="75" spans="1:1" ht="15.75" customHeight="1" x14ac:dyDescent="0.3">
      <c r="A75" s="1" t="str">
        <f ca="1">IFERROR(__xludf.DUMMYFUNCTION("ARRAYFORMULA(GOOGLETRANSLATE(A:A, ""auto"", ""fa""))
"),"خب، شاید نه، اگر از او برنده شده باشید.")</f>
        <v>خب، شاید نه، اگر از او برنده شده باشید.</v>
      </c>
    </row>
    <row r="76" spans="1:1" ht="15.75" customHeight="1" x14ac:dyDescent="0.3">
      <c r="A76" s="1" t="str">
        <f ca="1">IFERROR(__xludf.DUMMYFUNCTION("ARRAYFORMULA(GOOGLETRANSLATE(A:A, ""auto"", ""fa""))
"),"احساس می‌کنم وفاداری‌اش تغییر کرده است.")</f>
        <v>احساس می‌کنم وفاداری‌اش تغییر کرده است.</v>
      </c>
    </row>
    <row r="77" spans="1:1" ht="15.75" customHeight="1" x14ac:dyDescent="0.3">
      <c r="A77" s="1" t="str">
        <f ca="1">IFERROR(__xludf.DUMMYFUNCTION("ARRAYFORMULA(GOOGLETRANSLATE(A:A, ""auto"", ""fa""))
"),"تو یه جوری در مورد چوبدستی‌ها حرف می‌زنی انگار که اونا هم احساس دارن...")</f>
        <v>تو یه جوری در مورد چوبدستی‌ها حرف می‌زنی انگار که اونا هم احساس دارن...</v>
      </c>
    </row>
    <row r="78" spans="1:1" ht="15.75" customHeight="1" x14ac:dyDescent="0.3">
      <c r="A78" s="1" t="str">
        <f ca="1">IFERROR(__xludf.DUMMYFUNCTION("ARRAYFORMULA(GOOGLETRANSLATE(A:A, ""auto"", ""fa""))
"),"...می‌تواند فکر کند.")</f>
        <v>...می‌تواند فکر کند.</v>
      </c>
    </row>
    <row r="79" spans="1:1" ht="15.75" customHeight="1" x14ac:dyDescent="0.3">
      <c r="A79" s="1" t="str">
        <f ca="1">IFERROR(__xludf.DUMMYFUNCTION("ARRAYFORMULA(GOOGLETRANSLATE(A:A, ""auto"", ""fa""))
"),"چوبدستی، جادوگر، آقای پاتر، را انتخاب می‌کند.")</f>
        <v>چوبدستی، جادوگر، آقای پاتر، را انتخاب می‌کند.</v>
      </c>
    </row>
    <row r="80" spans="1:1" ht="15.75" customHeight="1" x14ac:dyDescent="0.3">
      <c r="A80" s="1" t="str">
        <f ca="1">IFERROR(__xludf.DUMMYFUNCTION("ARRAYFORMULA(GOOGLETRANSLATE(A:A, ""auto"", ""fa""))
"),"این موضوع همیشه برای کسانی از ما که در مورد جادوگری مطالعه کرده‌اند، روشن بوده است.")</f>
        <v>این موضوع همیشه برای کسانی از ما که در مورد جادوگری مطالعه کرده‌اند، روشن بوده است.</v>
      </c>
    </row>
    <row r="81" spans="1:1" ht="15.75" customHeight="1" x14ac:dyDescent="0.3">
      <c r="A81" s="1" t="str">
        <f ca="1">IFERROR(__xludf.DUMMYFUNCTION("ARRAYFORMULA(GOOGLETRANSLATE(A:A, ""auto"", ""fa""))
"),"و در مورد یادگاران مرگ چه می‌دانید؟")</f>
        <v>و در مورد یادگاران مرگ چه می‌دانید؟</v>
      </c>
    </row>
    <row r="82" spans="1:1" ht="15.75" customHeight="1" x14ac:dyDescent="0.3">
      <c r="A82" s="1" t="str">
        <f ca="1">IFERROR(__xludf.DUMMYFUNCTION("ARRAYFORMULA(GOOGLETRANSLATE(A:A, ""auto"", ""fa""))
"),"شایعه شده است که سه مورد وجود دارد:")</f>
        <v>شایعه شده است که سه مورد وجود دارد:</v>
      </c>
    </row>
    <row r="83" spans="1:1" ht="15.75" customHeight="1" x14ac:dyDescent="0.3">
      <c r="A83" s="1" t="str">
        <f ca="1">IFERROR(__xludf.DUMMYFUNCTION("ARRAYFORMULA(GOOGLETRANSLATE(A:A, ""auto"", ""fa""))
"),"عصای پیری...")</f>
        <v>عصای پیری...</v>
      </c>
    </row>
    <row r="84" spans="1:1" ht="15.75" customHeight="1" x14ac:dyDescent="0.3">
      <c r="A84" s="1" t="str">
        <f ca="1">IFERROR(__xludf.DUMMYFUNCTION("ARRAYFORMULA(GOOGLETRANSLATE(A:A, ""auto"", ""fa""))
"),"... شنل نامرئی برای پنهان کردن شما از دشمنانتان ...")</f>
        <v>... شنل نامرئی برای پنهان کردن شما از دشمنانتان ...</v>
      </c>
    </row>
    <row r="85" spans="1:1" ht="15.75" customHeight="1" x14ac:dyDescent="0.3">
      <c r="A85" s="1" t="str">
        <f ca="1">IFERROR(__xludf.DUMMYFUNCTION("ARRAYFORMULA(GOOGLETRANSLATE(A:A, ""auto"", ""fa""))
"),"... و سنگ رستاخیز برای بازگرداندن عزیزان از مرگ.")</f>
        <v>... و سنگ رستاخیز برای بازگرداندن عزیزان از مرگ.</v>
      </c>
    </row>
    <row r="86" spans="1:1" ht="15.75" customHeight="1" x14ac:dyDescent="0.3">
      <c r="A86" s="1" t="str">
        <f ca="1">IFERROR(__xludf.DUMMYFUNCTION("ARRAYFORMULA(GOOGLETRANSLATE(A:A, ""auto"", ""fa""))
"),"آنها با هم، یکی را به ارباب مرگ تبدیل می‌کنند.")</f>
        <v>آنها با هم، یکی را به ارباب مرگ تبدیل می‌کنند.</v>
      </c>
    </row>
    <row r="87" spans="1:1" ht="15.75" customHeight="1" x14ac:dyDescent="0.3">
      <c r="A87" s="1" t="str">
        <f ca="1">IFERROR(__xludf.DUMMYFUNCTION("ARRAYFORMULA(GOOGLETRANSLATE(A:A, ""auto"", ""fa""))
"),"اما تعداد کمی واقعاً باور دارند که چنین اشیایی وجود دارند.")</f>
        <v>اما تعداد کمی واقعاً باور دارند که چنین اشیایی وجود دارند.</v>
      </c>
    </row>
    <row r="88" spans="1:1" ht="15.75" customHeight="1" x14ac:dyDescent="0.3">
      <c r="A88" s="1" t="str">
        <f ca="1">IFERROR(__xludf.DUMMYFUNCTION("ARRAYFORMULA(GOOGLETRANSLATE(A:A, ""auto"", ""fa""))
"),"&lt;font color=""#FF0000""&gt;هری:&lt;/font&gt; تو؟")</f>
        <v>&lt;font color="#FF0000"&gt;هری:&lt;/font&gt; تو؟</v>
      </c>
    </row>
    <row r="89" spans="1:1" ht="15.75" customHeight="1" x14ac:dyDescent="0.3">
      <c r="A89" s="1" t="str">
        <f ca="1">IFERROR(__xludf.DUMMYFUNCTION("ARRAYFORMULA(GOOGLETRANSLATE(A:A, ""auto"", ""fa""))
"),"آیا شما باور دارید که آنها وجود دارند، آقا؟")</f>
        <v>آیا شما باور دارید که آنها وجود دارند، آقا؟</v>
      </c>
    </row>
    <row r="90" spans="1:1" ht="15.75" customHeight="1" x14ac:dyDescent="0.3">
      <c r="A90" s="1" t="str">
        <f ca="1">IFERROR(__xludf.DUMMYFUNCTION("ARRAYFORMULA(GOOGLETRANSLATE(A:A, ""auto"", ""fa""))
"),"من هیچ دلیلی نمی‌بینم که به یک داستان قدیمی و کلیشه‌ای اهمیت بدهم.")</f>
        <v>من هیچ دلیلی نمی‌بینم که به یک داستان قدیمی و کلیشه‌ای اهمیت بدهم.</v>
      </c>
    </row>
    <row r="91" spans="1:1" ht="15.75" customHeight="1" x14ac:dyDescent="0.3">
      <c r="A91" s="1" t="str">
        <f ca="1">IFERROR(__xludf.DUMMYFUNCTION("ARRAYFORMULA(GOOGLETRANSLATE(A:A, ""auto"", ""fa""))
"),"داری دروغ میگی.")</f>
        <v>داری دروغ میگی.</v>
      </c>
    </row>
    <row r="92" spans="1:1" ht="15.75" customHeight="1" x14ac:dyDescent="0.3">
      <c r="A92" s="1" t="str">
        <f ca="1">IFERROR(__xludf.DUMMYFUNCTION("ARRAYFORMULA(GOOGLETRANSLATE(A:A, ""auto"", ""fa""))
"),"میدونی که یکیش وجود داره.")</f>
        <v>میدونی که یکیش وجود داره.</v>
      </c>
    </row>
    <row r="93" spans="1:1" ht="15.75" customHeight="1" x14ac:dyDescent="0.3">
      <c r="A93" s="1" t="str">
        <f ca="1">IFERROR(__xludf.DUMMYFUNCTION("ARRAYFORMULA(GOOGLETRANSLATE(A:A, ""auto"", ""fa""))
"),"تو بهش در موردش گفتی.")</f>
        <v>تو بهش در موردش گفتی.</v>
      </c>
    </row>
    <row r="94" spans="1:1" ht="15.75" customHeight="1" x14ac:dyDescent="0.3">
      <c r="A94" s="1" t="str">
        <f ca="1">IFERROR(__xludf.DUMMYFUNCTION("ARRAYFORMULA(GOOGLETRANSLATE(A:A, ""auto"", ""fa""))
"),"تو بهش در مورد چوبدستی کهنسال گفتی و اینکه کجا می‌تونه دنبالش بگرده.")</f>
        <v>تو بهش در مورد چوبدستی کهنسال گفتی و اینکه کجا می‌تونه دنبالش بگرده.</v>
      </c>
    </row>
    <row r="95" spans="1:1" ht="15.75" customHeight="1" x14ac:dyDescent="0.3">
      <c r="A95" s="1" t="str">
        <f ca="1">IFERROR(__xludf.DUMMYFUNCTION("ARRAYFORMULA(GOOGLETRANSLATE(A:A, ""auto"", ""fa""))
"),"او مرا شکنجه داد.")</f>
        <v>او مرا شکنجه داد.</v>
      </c>
    </row>
    <row r="96" spans="1:1" ht="15.75" customHeight="1" x14ac:dyDescent="0.3">
      <c r="A96" s="1" t="str">
        <f ca="1">IFERROR(__xludf.DUMMYFUNCTION("ARRAYFORMULA(GOOGLETRANSLATE(A:A, ""auto"", ""fa""))
"),"گذشته از این...")</f>
        <v>گذشته از این...</v>
      </c>
    </row>
    <row r="97" spans="1:1" ht="15.75" customHeight="1" x14ac:dyDescent="0.3">
      <c r="A97" s="1" t="str">
        <f ca="1">IFERROR(__xludf.DUMMYFUNCTION("ARRAYFORMULA(GOOGLETRANSLATE(A:A, ""auto"", ""fa""))
"),"...من فقط شایعات را منتقل کردم.")</f>
        <v>...من فقط شایعات را منتقل کردم.</v>
      </c>
    </row>
    <row r="98" spans="1:1" ht="15.75" customHeight="1" x14ac:dyDescent="0.3">
      <c r="A98" s="1" t="str">
        <f ca="1">IFERROR(__xludf.DUMMYFUNCTION("ARRAYFORMULA(GOOGLETRANSLATE(A:A, ""auto"", ""fa""))
"),"اونجا...")</f>
        <v>اونجا...</v>
      </c>
    </row>
    <row r="99" spans="1:1" ht="15.75" customHeight="1" x14ac:dyDescent="0.3">
      <c r="A99" s="1" t="str">
        <f ca="1">IFERROR(__xludf.DUMMYFUNCTION("ARRAYFORMULA(GOOGLETRANSLATE(A:A, ""auto"", ""fa""))
"),"هیچ معلوم نیست که پیداش کنه یا نه.")</f>
        <v>هیچ معلوم نیست که پیداش کنه یا نه.</v>
      </c>
    </row>
    <row r="100" spans="1:1" ht="15.75" customHeight="1" x14ac:dyDescent="0.3">
      <c r="A100" s="1" t="str">
        <f ca="1">IFERROR(__xludf.DUMMYFUNCTION("ARRAYFORMULA(GOOGLETRANSLATE(A:A, ""auto"", ""fa""))
"),"پیداش کرده، آقا.")</f>
        <v>پیداش کرده، آقا.</v>
      </c>
    </row>
    <row r="101" spans="1:1" ht="15.75" customHeight="1" x14ac:dyDescent="0.3">
      <c r="A101" s="1" t="str">
        <f ca="1">IFERROR(__xludf.DUMMYFUNCTION("ARRAYFORMULA(GOOGLETRANSLATE(A:A, ""auto"", ""fa""))
"),"میذاریم استراحت کنی.")</f>
        <v>میذاریم استراحت کنی.</v>
      </c>
    </row>
    <row r="102" spans="1:1" ht="15.75" customHeight="1" x14ac:dyDescent="0.3">
      <c r="A102" s="1" t="str">
        <f ca="1">IFERROR(__xludf.DUMMYFUNCTION("ARRAYFORMULA(GOOGLETRANSLATE(A:A, ""auto"", ""fa""))
"),"&lt;font color=""#FF0000""&gt;اولیوندر:&lt;/font&gt; اون دنبالته، آقای پاتر.")</f>
        <v>&lt;font color="#FF0000"&gt;اولیوندر:&lt;/font&gt; اون دنبالته، آقای پاتر.</v>
      </c>
    </row>
    <row r="103" spans="1:1" ht="15.75" customHeight="1" x14ac:dyDescent="0.3">
      <c r="A103" s="1" t="str">
        <f ca="1">IFERROR(__xludf.DUMMYFUNCTION("ARRAYFORMULA(GOOGLETRANSLATE(A:A, ""auto"", ""fa""))
"),"اگر حرف شما درست باشد، و او چوبدستی کهنسال را داشته باشد...")</f>
        <v>اگر حرف شما درست باشد، و او چوبدستی کهنسال را داشته باشد...</v>
      </c>
    </row>
    <row r="104" spans="1:1" ht="15.75" customHeight="1" x14ac:dyDescent="0.3">
      <c r="A104" s="1" t="str">
        <f ca="1">IFERROR(__xludf.DUMMYFUNCTION("ARRAYFORMULA(GOOGLETRANSLATE(A:A, ""auto"", ""fa""))
"),"...میترسم...")</f>
        <v>...میترسم...</v>
      </c>
    </row>
    <row r="105" spans="1:1" ht="15.75" customHeight="1" x14ac:dyDescent="0.3">
      <c r="A105" s="1" t="str">
        <f ca="1">IFERROR(__xludf.DUMMYFUNCTION("ARRAYFORMULA(GOOGLETRANSLATE(A:A, ""auto"", ""fa""))
"),"... واقعاً هیچ شانسی نداری.")</f>
        <v>... واقعاً هیچ شانسی نداری.</v>
      </c>
    </row>
    <row r="106" spans="1:1" ht="15.75" customHeight="1" x14ac:dyDescent="0.3">
      <c r="A106" s="1" t="str">
        <f ca="1">IFERROR(__xludf.DUMMYFUNCTION("ARRAYFORMULA(GOOGLETRANSLATE(A:A, ""auto"", ""fa""))
"),"خب، پس فکر کنم باید قبل از اینکه پیدام کنه بکشمش.")</f>
        <v>خب، پس فکر کنم باید قبل از اینکه پیدام کنه بکشمش.</v>
      </c>
    </row>
    <row r="107" spans="1:1" ht="15.75" customHeight="1" x14ac:dyDescent="0.3">
      <c r="A107" s="1" t="str">
        <f ca="1">IFERROR(__xludf.DUMMYFUNCTION("ARRAYFORMULA(GOOGLETRANSLATE(A:A, ""auto"", ""fa""))
"),"&lt;font color=""#FF0000""&gt;رون:&lt;/font&gt; مطمئنی که مال اونه؟")</f>
        <v>&lt;font color="#FF0000"&gt;رون:&lt;/font&gt; مطمئنی که مال اونه؟</v>
      </c>
    </row>
    <row r="108" spans="1:1" ht="15.75" customHeight="1" x14ac:dyDescent="0.3">
      <c r="A108" s="1" t="str">
        <f ca="1">IFERROR(__xludf.DUMMYFUNCTION("ARRAYFORMULA(GOOGLETRANSLATE(A:A, ""auto"", ""fa""))
"),"مثبت.")</f>
        <v>مثبت.</v>
      </c>
    </row>
    <row r="109" spans="1:1" ht="15.75" customHeight="1" x14ac:dyDescent="0.3">
      <c r="A109" s="1" t="str">
        <f ca="1">IFERROR(__xludf.DUMMYFUNCTION("ARRAYFORMULA(GOOGLETRANSLATE(A:A, ""auto"", ""fa""))
"),"خب؟")</f>
        <v>خب؟</v>
      </c>
    </row>
    <row r="110" spans="1:1" ht="15.75" customHeight="1" x14ac:dyDescent="0.3">
      <c r="A110" s="1" t="str">
        <f ca="1">IFERROR(__xludf.DUMMYFUNCTION("ARRAYFORMULA(GOOGLETRANSLATE(A:A, ""auto"", ""fa""))
"),"چطور به نظر میرسم؟")</f>
        <v>چطور به نظر میرسم؟</v>
      </c>
    </row>
    <row r="111" spans="1:1" ht="15.75" customHeight="1" x14ac:dyDescent="0.3">
      <c r="A111" s="1" t="str">
        <f ca="1">IFERROR(__xludf.DUMMYFUNCTION("ARRAYFORMULA(GOOGLETRANSLATE(A:A, ""auto"", ""fa""))
"),"&lt;font color=""#FF0000""&gt;رون:&lt;/font&gt; وحشتناک.")</f>
        <v>&lt;font color="#FF0000"&gt;رون:&lt;/font&gt; وحشتناک.</v>
      </c>
    </row>
    <row r="112" spans="1:1" ht="15.75" customHeight="1" x14ac:dyDescent="0.3">
      <c r="A112" s="1" t="str">
        <f ca="1">IFERROR(__xludf.DUMMYFUNCTION("ARRAYFORMULA(GOOGLETRANSLATE(A:A, ""auto"", ""fa""))
"),"می‌تونی اون رو بدی به هرمیون تا نگهش داره، باشه گریپهوک؟")</f>
        <v>می‌تونی اون رو بدی به هرمیون تا نگهش داره، باشه گریپهوک؟</v>
      </c>
    </row>
    <row r="113" spans="1:1" ht="15.75" customHeight="1" x14ac:dyDescent="0.3">
      <c r="A113" s="1" t="str">
        <f ca="1">IFERROR(__xludf.DUMMYFUNCTION("ARRAYFORMULA(GOOGLETRANSLATE(A:A, ""auto"", ""fa""))
"),"ما به تو تکیه می‌کنیم.")</f>
        <v>ما به تو تکیه می‌کنیم.</v>
      </c>
    </row>
    <row r="114" spans="1:1" ht="15.75" customHeight="1" x14ac:dyDescent="0.3">
      <c r="A114" s="1" t="str">
        <f ca="1">IFERROR(__xludf.DUMMYFUNCTION("ARRAYFORMULA(GOOGLETRANSLATE(A:A, ""auto"", ""fa""))
"),"اگر ما را از میان نگهبانان عبور دهید و به خزانه برسانید، شمشیر مال شماست.")</f>
        <v>اگر ما را از میان نگهبانان عبور دهید و به خزانه برسانید، شمشیر مال شماست.</v>
      </c>
    </row>
    <row r="115" spans="1:1" ht="15.75" customHeight="1" x14ac:dyDescent="0.3">
      <c r="A115" s="1" t="str">
        <f ca="1">IFERROR(__xludf.DUMMYFUNCTION("ARRAYFORMULA(GOOGLETRANSLATE(A:A, ""auto"", ""fa""))
"),"مادام لسترنج.")</f>
        <v>مادام لسترنج.</v>
      </c>
    </row>
    <row r="116" spans="1:1" ht="15.75" customHeight="1" x14ac:dyDescent="0.3">
      <c r="A116" s="1" t="str">
        <f ca="1">IFERROR(__xludf.DUMMYFUNCTION("ARRAYFORMULA(GOOGLETRANSLATE(A:A, ""auto"", ""fa""))
"),"&lt;font color=""#FF0000""&gt;هرمیون:&lt;/font&gt; صبح بخیر.")</f>
        <v>&lt;font color="#FF0000"&gt;هرمیون:&lt;/font&gt; صبح بخیر.</v>
      </c>
    </row>
    <row r="117" spans="1:1" ht="15.75" customHeight="1" x14ac:dyDescent="0.3">
      <c r="A117" s="1" t="str">
        <f ca="1">IFERROR(__xludf.DUMMYFUNCTION("ARRAYFORMULA(GOOGLETRANSLATE(A:A, ""auto"", ""fa""))
"),"&lt;font color=""#FF0000""&gt;گریفوک:&lt;/font&gt; «صبح بخیر»؟ «صبح بخیر»؟")</f>
        <v>&lt;font color="#FF0000"&gt;گریفوک:&lt;/font&gt; «صبح بخیر»؟ «صبح بخیر»؟</v>
      </c>
    </row>
    <row r="118" spans="1:1" ht="15.75" customHeight="1" x14ac:dyDescent="0.3">
      <c r="A118" s="1" t="str">
        <f ca="1">IFERROR(__xludf.DUMMYFUNCTION("ARRAYFORMULA(GOOGLETRANSLATE(A:A, ""auto"", ""fa""))
"),"تو بلاتریکس لسترنج هستی، نه یه دختر مدرسه‌ای بی‌خیال.")</f>
        <v>تو بلاتریکس لسترنج هستی، نه یه دختر مدرسه‌ای بی‌خیال.</v>
      </c>
    </row>
    <row r="119" spans="1:1" ht="15.75" customHeight="1" x14ac:dyDescent="0.3">
      <c r="A119" s="1" t="str">
        <f ca="1">IFERROR(__xludf.DUMMYFUNCTION("ARRAYFORMULA(GOOGLETRANSLATE(A:A, ""auto"", ""fa""))
"),"&lt;font color=""#FF0000""&gt;رون:&lt;/font&gt; هی. راحت باش.")</f>
        <v>&lt;font color="#FF0000"&gt;رون:&lt;/font&gt; هی. راحت باش.</v>
      </c>
    </row>
    <row r="120" spans="1:1" ht="15.75" customHeight="1" x14ac:dyDescent="0.3">
      <c r="A120" s="1" t="str">
        <f ca="1">IFERROR(__xludf.DUMMYFUNCTION("ARRAYFORMULA(GOOGLETRANSLATE(A:A, ""auto"", ""fa""))
"),"او ما را لو می‌دهد، پس بهتر است از آن شمشیر برای بریدن گلوی خودمان استفاده کنیم.")</f>
        <v>او ما را لو می‌دهد، پس بهتر است از آن شمشیر برای بریدن گلوی خودمان استفاده کنیم.</v>
      </c>
    </row>
    <row r="121" spans="1:1" ht="15.75" customHeight="1" x14ac:dyDescent="0.3">
      <c r="A121" s="1" t="str">
        <f ca="1">IFERROR(__xludf.DUMMYFUNCTION("ARRAYFORMULA(GOOGLETRANSLATE(A:A, ""auto"", ""fa""))
"),"می‌فهمی؟")</f>
        <v>می‌فهمی؟</v>
      </c>
    </row>
    <row r="122" spans="1:1" ht="15.75" customHeight="1" x14ac:dyDescent="0.3">
      <c r="A122" s="1" t="str">
        <f ca="1">IFERROR(__xludf.DUMMYFUNCTION("ARRAYFORMULA(GOOGLETRANSLATE(A:A, ""auto"", ""fa""))
"),"نه، حق با اوست. من داشتم حماقت می‌کردم.")</f>
        <v>نه، حق با اوست. من داشتم حماقت می‌کردم.</v>
      </c>
    </row>
    <row r="123" spans="1:1" ht="15.75" customHeight="1" x14ac:dyDescent="0.3">
      <c r="A123" s="1" t="str">
        <f ca="1">IFERROR(__xludf.DUMMYFUNCTION("ARRAYFORMULA(GOOGLETRANSLATE(A:A, ""auto"", ""fa""))
"),"&lt;font color=""#FF0000""&gt;هری:&lt;/font&gt; باشه.")</f>
        <v>&lt;font color="#FF0000"&gt;هری:&lt;/font&gt; باشه.</v>
      </c>
    </row>
    <row r="124" spans="1:1" ht="15.75" customHeight="1" x14ac:dyDescent="0.3">
      <c r="A124" s="1" t="str">
        <f ca="1">IFERROR(__xludf.DUMMYFUNCTION("ARRAYFORMULA(GOOGLETRANSLATE(A:A, ""auto"", ""fa""))
"),"بیایید انجامش دهیم.")</f>
        <v>بیایید انجامش دهیم.</v>
      </c>
    </row>
    <row r="125" spans="1:1" ht="15.75" customHeight="1" x14ac:dyDescent="0.3">
      <c r="A125" s="1" t="str">
        <f ca="1">IFERROR(__xludf.DUMMYFUNCTION("ARRAYFORMULA(GOOGLETRANSLATE(A:A, ""auto"", ""fa""))
"),"&lt;font color=""#FFFF00""&gt;(کاغذ خراش قلم)&lt;/font&gt;")</f>
        <v>&lt;font color="#FFFF00"&gt;(کاغذ خراش قلم)&lt;/font&gt;</v>
      </c>
    </row>
    <row r="126" spans="1:1" ht="15.75" customHeight="1" x14ac:dyDescent="0.3">
      <c r="A126" s="1" t="str">
        <f ca="1">IFERROR(__xludf.DUMMYFUNCTION("ARRAYFORMULA(GOOGLETRANSLATE(A:A, ""auto"", ""fa""))
"),"&lt;font color=""#FFFF00""&gt;(گلویش را صاف می‌کند)&lt;/font&gt;")</f>
        <v>&lt;font color="#FFFF00"&gt;(گلویش را صاف می‌کند)&lt;/font&gt;</v>
      </c>
    </row>
    <row r="127" spans="1:1" ht="15.75" customHeight="1" x14ac:dyDescent="0.3">
      <c r="A127" s="1" t="str">
        <f ca="1">IFERROR(__xludf.DUMMYFUNCTION("ARRAYFORMULA(GOOGLETRANSLATE(A:A, ""auto"", ""fa""))
"),"می‌خواهم وارد خزانه‌ام شوم.")</f>
        <v>می‌خواهم وارد خزانه‌ام شوم.</v>
      </c>
    </row>
    <row r="128" spans="1:1" ht="15.75" customHeight="1" x14ac:dyDescent="0.3">
      <c r="A128" s="1" t="str">
        <f ca="1">IFERROR(__xludf.DUMMYFUNCTION("ARRAYFORMULA(GOOGLETRANSLATE(A:A, ""auto"", ""fa""))
"),"شناسایی؟")</f>
        <v>شناسایی؟</v>
      </c>
    </row>
    <row r="129" spans="1:1" ht="15.75" customHeight="1" x14ac:dyDescent="0.3">
      <c r="A129" s="1" t="str">
        <f ca="1">IFERROR(__xludf.DUMMYFUNCTION("ARRAYFORMULA(GOOGLETRANSLATE(A:A, ""auto"", ""fa""))
"),"بعید می‌دانم لازم باشد.")</f>
        <v>بعید می‌دانم لازم باشد.</v>
      </c>
    </row>
    <row r="130" spans="1:1" ht="15.75" customHeight="1" x14ac:dyDescent="0.3">
      <c r="A130" s="1" t="str">
        <f ca="1">IFERROR(__xludf.DUMMYFUNCTION("ARRAYFORMULA(GOOGLETRANSLATE(A:A, ""auto"", ""fa""))
"),"مادام لسترنج.")</f>
        <v>مادام لسترنج.</v>
      </c>
    </row>
    <row r="131" spans="1:1" ht="15.75" customHeight="1" x14ac:dyDescent="0.3">
      <c r="A131" s="1" t="str">
        <f ca="1">IFERROR(__xludf.DUMMYFUNCTION("ARRAYFORMULA(GOOGLETRANSLATE(A:A, ""auto"", ""fa""))
"),"دوست ندارم منتظر بمانم.")</f>
        <v>دوست ندارم منتظر بمانم.</v>
      </c>
    </row>
    <row r="132" spans="1:1" ht="15.75" customHeight="1" x14ac:dyDescent="0.3">
      <c r="A132" s="1" t="str">
        <f ca="1">IFERROR(__xludf.DUMMYFUNCTION("ARRAYFORMULA(GOOGLETRANSLATE(A:A, ""auto"", ""fa""))
"),"&lt;font color=""#FF0000""&gt;گریفوک:&lt;/font&gt; اونا می‌دونن.")</f>
        <v>&lt;font color="#FF0000"&gt;گریفوک:&lt;/font&gt; اونا می‌دونن.</v>
      </c>
    </row>
    <row r="133" spans="1:1" ht="15.75" customHeight="1" x14ac:dyDescent="0.3">
      <c r="A133" s="1" t="str">
        <f ca="1">IFERROR(__xludf.DUMMYFUNCTION("ARRAYFORMULA(GOOGLETRANSLATE(A:A, ""auto"", ""fa""))
"),"آنها می‌دانند که او یک شیاد است.")</f>
        <v>آنها می‌دانند که او یک شیاد است.</v>
      </c>
    </row>
    <row r="134" spans="1:1" ht="15.75" customHeight="1" x14ac:dyDescent="0.3">
      <c r="A134" s="1" t="str">
        <f ca="1">IFERROR(__xludf.DUMMYFUNCTION("ARRAYFORMULA(GOOGLETRANSLATE(A:A, ""auto"", ""fa""))
"),"به آنها هشدار داده شده است.")</f>
        <v>به آنها هشدار داده شده است.</v>
      </c>
    </row>
    <row r="135" spans="1:1" ht="15.75" customHeight="1" x14ac:dyDescent="0.3">
      <c r="A135" s="1" t="str">
        <f ca="1">IFERROR(__xludf.DUMMYFUNCTION("ARRAYFORMULA(GOOGLETRANSLATE(A:A, ""auto"", ""fa""))
"),"هری؟")</f>
        <v>هری؟</v>
      </c>
    </row>
    <row r="136" spans="1:1" ht="15.75" customHeight="1" x14ac:dyDescent="0.3">
      <c r="A136" s="1" t="str">
        <f ca="1">IFERROR(__xludf.DUMMYFUNCTION("ARRAYFORMULA(GOOGLETRANSLATE(A:A, ""auto"", ""fa""))
"),"چیکار کنیم هری؟")</f>
        <v>چیکار کنیم هری؟</v>
      </c>
    </row>
    <row r="137" spans="1:1" ht="15.75" customHeight="1" x14ac:dyDescent="0.3">
      <c r="A137" s="1" t="str">
        <f ca="1">IFERROR(__xludf.DUMMYFUNCTION("ARRAYFORMULA(GOOGLETRANSLATE(A:A, ""auto"", ""fa""))
"),"خانم لسترنج، میشه لطفا چوبدستی‌تون رو بهم بدید؟")</f>
        <v>خانم لسترنج، میشه لطفا چوبدستی‌تون رو بهم بدید؟</v>
      </c>
    </row>
    <row r="138" spans="1:1" ht="15.75" customHeight="1" x14ac:dyDescent="0.3">
      <c r="A138" s="1" t="str">
        <f ca="1">IFERROR(__xludf.DUMMYFUNCTION("ARRAYFORMULA(GOOGLETRANSLATE(A:A, ""auto"", ""fa""))
"),"و چرا باید چنین کاری بکنم؟")</f>
        <v>و چرا باید چنین کاری بکنم؟</v>
      </c>
    </row>
    <row r="139" spans="1:1" ht="15.75" customHeight="1" x14ac:dyDescent="0.3">
      <c r="A139" s="1" t="str">
        <f ca="1">IFERROR(__xludf.DUMMYFUNCTION("ARRAYFORMULA(GOOGLETRANSLATE(A:A, ""auto"", ""fa""))
"),"این سیاست بانک است. مطمئنم که با توجه به شرایط فعلی، شما متوجه هستید.")</f>
        <v>این سیاست بانک است. مطمئنم که با توجه به شرایط فعلی، شما متوجه هستید.</v>
      </c>
    </row>
    <row r="140" spans="1:1" ht="15.75" customHeight="1" x14ac:dyDescent="0.3">
      <c r="A140" s="1" t="str">
        <f ca="1">IFERROR(__xludf.DUMMYFUNCTION("ARRAYFORMULA(GOOGLETRANSLATE(A:A, ""auto"", ""fa""))
"),"نه. من قطعاً نمی‌فهمم.")</f>
        <v>نه. من قطعاً نمی‌فهمم.</v>
      </c>
    </row>
    <row r="141" spans="1:1" ht="15.75" customHeight="1" x14ac:dyDescent="0.3">
      <c r="A141" s="1" t="str">
        <f ca="1">IFERROR(__xludf.DUMMYFUNCTION("ARRAYFORMULA(GOOGLETRANSLATE(A:A, ""auto"", ""fa""))
"),"می‌ترسم مجبور باشم اصرار کنم.")</f>
        <v>می‌ترسم مجبور باشم اصرار کنم.</v>
      </c>
    </row>
    <row r="142" spans="1:1" ht="15.75" customHeight="1" x14ac:dyDescent="0.3">
      <c r="A142" s="1" t="str">
        <f ca="1">IFERROR(__xludf.DUMMYFUNCTION("ARRAYFORMULA(GOOGLETRANSLATE(A:A, ""auto"", ""fa""))
"),"&lt;font color=""#FF0000""&gt;هری زمزمه می‌کند:&lt;/font&gt; امپراتوری.")</f>
        <v>&lt;font color="#FF0000"&gt;هری زمزمه می‌کند:&lt;/font&gt; امپراتوری.</v>
      </c>
    </row>
    <row r="143" spans="1:1" ht="15.75" customHeight="1" x14ac:dyDescent="0.3">
      <c r="A143" s="1" t="str">
        <f ca="1">IFERROR(__xludf.DUMMYFUNCTION("ARRAYFORMULA(GOOGLETRANSLATE(A:A, ""auto"", ""fa""))
"),"&lt;font color=""#FFFF00""&gt;(هق هق می‌کند و سپس آه می‌کشد)&lt;/font&gt;")</f>
        <v>&lt;font color="#FFFF00"&gt;(هق هق می‌کند و سپس آه می‌کشد)&lt;/font&gt;</v>
      </c>
    </row>
    <row r="144" spans="1:1" ht="15.75" customHeight="1" x14ac:dyDescent="0.3">
      <c r="A144" s="1" t="str">
        <f ca="1">IFERROR(__xludf.DUMMYFUNCTION("ARRAYFORMULA(GOOGLETRANSLATE(A:A, ""auto"", ""fa""))
"),"خیلی خب، خانم لسترنج. اگر دنبالم بیایید.")</f>
        <v>خیلی خب، خانم لسترنج. اگر دنبالم بیایید.</v>
      </c>
    </row>
    <row r="145" spans="1:1" ht="15.75" customHeight="1" x14ac:dyDescent="0.3">
      <c r="A145" s="1" t="str">
        <f ca="1">IFERROR(__xludf.DUMMYFUNCTION("ARRAYFORMULA(GOOGLETRANSLATE(A:A, ""auto"", ""fa""))
"),"&lt;font color=""#FF0000""&gt;هری:&lt;/font&gt; اون چیه، گریپهوک؟")</f>
        <v>&lt;font color="#FF0000"&gt;هری:&lt;/font&gt; اون چیه، گریپهوک؟</v>
      </c>
    </row>
    <row r="146" spans="1:1" ht="15.75" customHeight="1" x14ac:dyDescent="0.3">
      <c r="A146" s="1" t="str">
        <f ca="1">IFERROR(__xludf.DUMMYFUNCTION("ARRAYFORMULA(GOOGLETRANSLATE(A:A, ""auto"", ""fa""))
"),"&lt;font color=""#FFFF00""&gt;(جیرجیر و صدای سایش)&lt;/font&gt;")</f>
        <v>&lt;font color="#FFFF00"&gt;(جیرجیر و صدای سایش)&lt;/font&gt;</v>
      </c>
    </row>
    <row r="147" spans="1:1" ht="15.75" customHeight="1" x14ac:dyDescent="0.3">
      <c r="A147" s="1" t="str">
        <f ca="1">IFERROR(__xludf.DUMMYFUNCTION("ARRAYFORMULA(GOOGLETRANSLATE(A:A, ""auto"", ""fa""))
"),"گریپهوک")</f>
        <v>گریپهوک</v>
      </c>
    </row>
    <row r="148" spans="1:1" ht="15.75" customHeight="1" x14ac:dyDescent="0.3">
      <c r="A148" s="1" t="str">
        <f ca="1">IFERROR(__xludf.DUMMYFUNCTION("ARRAYFORMULA(GOOGLETRANSLATE(A:A, ""auto"", ""fa""))
"),"&lt;font color=""#FFFF00""&gt;(همه نفس نفس می‌زنند)&lt;/font&gt;")</f>
        <v>&lt;font color="#FFFF00"&gt;(همه نفس نفس می‌زنند)&lt;/font&gt;</v>
      </c>
    </row>
    <row r="149" spans="1:1" ht="15.75" customHeight="1" x14ac:dyDescent="0.3">
      <c r="A149" s="1" t="str">
        <f ca="1">IFERROR(__xludf.DUMMYFUNCTION("ARRAYFORMULA(GOOGLETRANSLATE(A:A, ""auto"", ""fa""))
"),"&lt;font color=""#FFFF00""&gt;(صدای جیغ آژیر)&lt;/font&gt;")</f>
        <v>&lt;font color="#FFFF00"&gt;(صدای جیغ آژیر)&lt;/font&gt;</v>
      </c>
    </row>
    <row r="150" spans="1:1" ht="15.75" customHeight="1" x14ac:dyDescent="0.3">
      <c r="A150" s="1" t="str">
        <f ca="1">IFERROR(__xludf.DUMMYFUNCTION("ARRAYFORMULA(GOOGLETRANSLATE(A:A, ""auto"", ""fa""))
"),"&lt;font color=""#FFFF00""&gt;(جیغ)&lt;/font&gt;")</f>
        <v>&lt;font color="#FFFF00"&gt;(جیغ)&lt;/font&gt;</v>
      </c>
    </row>
    <row r="151" spans="1:1" ht="15.75" customHeight="1" x14ac:dyDescent="0.3">
      <c r="A151" s="1" t="str">
        <f ca="1">IFERROR(__xludf.DUMMYFUNCTION("ARRAYFORMULA(GOOGLETRANSLATE(A:A, ""auto"", ""fa""))
"),"&lt;font color=""#FF0000""&gt;هرمیون:&lt;/font&gt; آرستو مومنتوم.")</f>
        <v>&lt;font color="#FF0000"&gt;هرمیون:&lt;/font&gt; آرستو مومنتوم.</v>
      </c>
    </row>
    <row r="152" spans="1:1" ht="15.75" customHeight="1" x14ac:dyDescent="0.3">
      <c r="A152" s="1" t="str">
        <f ca="1">IFERROR(__xludf.DUMMYFUNCTION("ARRAYFORMULA(GOOGLETRANSLATE(A:A, ""auto"", ""fa""))
"),"&lt;font color=""#FFFF00""&gt;(تمام غرغرها)&lt;/font&gt;")</f>
        <v>&lt;font color="#FFFF00"&gt;(تمام غرغرها)&lt;/font&gt;</v>
      </c>
    </row>
    <row r="153" spans="1:1" ht="15.75" customHeight="1" x14ac:dyDescent="0.3">
      <c r="A153" s="1" t="str">
        <f ca="1">IFERROR(__xludf.DUMMYFUNCTION("ARRAYFORMULA(GOOGLETRANSLATE(A:A, ""auto"", ""fa""))
"),"&lt;font color=""#FF0000""&gt;هری:&lt;/font&gt; آفرین، هرمیون.")</f>
        <v>&lt;font color="#FF0000"&gt;هری:&lt;/font&gt; آفرین، هرمیون.</v>
      </c>
    </row>
    <row r="154" spans="1:1" ht="15.75" customHeight="1" x14ac:dyDescent="0.3">
      <c r="A154" s="1" t="str">
        <f ca="1">IFERROR(__xludf.DUMMYFUNCTION("ARRAYFORMULA(GOOGLETRANSLATE(A:A, ""auto"", ""fa""))
"),"&lt;font color=""#FFFF00""&gt;(صدای آژیر همچنان از دور شنیده می‌شود)&lt;/font&gt;")</f>
        <v>&lt;font color="#FFFF00"&gt;(صدای آژیر همچنان از دور شنیده می‌شود)&lt;/font&gt;</v>
      </c>
    </row>
    <row r="155" spans="1:1" ht="15.75" customHeight="1" x14ac:dyDescent="0.3">
      <c r="A155" s="1" t="str">
        <f ca="1">IFERROR(__xludf.DUMMYFUNCTION("ARRAYFORMULA(GOOGLETRANSLATE(A:A, ""auto"", ""fa""))
"),"اوه، نه، دوباره شبیه خودت شدی.")</f>
        <v>اوه، نه، دوباره شبیه خودت شدی.</v>
      </c>
    </row>
    <row r="156" spans="1:1" ht="15.75" customHeight="1" x14ac:dyDescent="0.3">
      <c r="A156" s="1" t="str">
        <f ca="1">IFERROR(__xludf.DUMMYFUNCTION("ARRAYFORMULA(GOOGLETRANSLATE(A:A, ""auto"", ""fa""))
"),"سقوط دزد. تمام طلسم‌ها را می‌شوید و از بین می‌برد.")</f>
        <v>سقوط دزد. تمام طلسم‌ها را می‌شوید و از بین می‌برد.</v>
      </c>
    </row>
    <row r="157" spans="1:1" ht="15.75" customHeight="1" x14ac:dyDescent="0.3">
      <c r="A157" s="1" t="str">
        <f ca="1">IFERROR(__xludf.DUMMYFUNCTION("ARRAYFORMULA(GOOGLETRANSLATE(A:A, ""auto"", ""fa""))
"),"می‌تواند کشنده باشد.")</f>
        <v>می‌تواند کشنده باشد.</v>
      </c>
    </row>
    <row r="158" spans="1:1" ht="15.75" customHeight="1" x14ac:dyDescent="0.3">
      <c r="A158" s="1" t="str">
        <f ca="1">IFERROR(__xludf.DUMMYFUNCTION("ARRAYFORMULA(GOOGLETRANSLATE(A:A, ""auto"", ""fa""))
"),"شما نگویید.")</f>
        <v>شما نگویید.</v>
      </c>
    </row>
    <row r="159" spans="1:1" ht="15.75" customHeight="1" x14ac:dyDescent="0.3">
      <c r="A159" s="1" t="str">
        <f ca="1">IFERROR(__xludf.DUMMYFUNCTION("ARRAYFORMULA(GOOGLETRANSLATE(A:A, ""auto"", ""fa""))
"),"فقط از روی علاقه، آیا راه دیگری برای خروج از اینجا وجود دارد؟")</f>
        <v>فقط از روی علاقه، آیا راه دیگری برای خروج از اینجا وجود دارد؟</v>
      </c>
    </row>
    <row r="160" spans="1:1" ht="15.75" customHeight="1" x14ac:dyDescent="0.3">
      <c r="A160" s="1" t="str">
        <f ca="1">IFERROR(__xludf.DUMMYFUNCTION("ARRAYFORMULA(GOOGLETRANSLATE(A:A, ""auto"", ""fa""))
"),"خیر.")</f>
        <v>خیر.</v>
      </c>
    </row>
    <row r="161" spans="1:1" ht="15.75" customHeight="1" x14ac:dyDescent="0.3">
      <c r="A161" s="1" t="str">
        <f ca="1">IFERROR(__xludf.DUMMYFUNCTION("ARRAYFORMULA(GOOGLETRANSLATE(A:A, ""auto"", ""fa""))
"),"لعنتی، اینجا چیکار می‌کنی؟")</f>
        <v>لعنتی، اینجا چیکار می‌کنی؟</v>
      </c>
    </row>
    <row r="162" spans="1:1" ht="15.75" customHeight="1" x14ac:dyDescent="0.3">
      <c r="A162" s="1" t="str">
        <f ca="1">IFERROR(__xludf.DUMMYFUNCTION("ARRAYFORMULA(GOOGLETRANSLATE(A:A, ""auto"", ""fa""))
"),"دزدها!")</f>
        <v>دزدها!</v>
      </c>
    </row>
    <row r="163" spans="1:1" ht="15.75" customHeight="1" x14ac:dyDescent="0.3">
      <c r="A163" s="1" t="str">
        <f ca="1">IFERROR(__xludf.DUMMYFUNCTION("ARRAYFORMULA(GOOGLETRANSLATE(A:A, ""auto"", ""fa""))
"),"وقتی کلیدها را تحویل دادی، تو...
لمپریو.")</f>
        <v>وقتی کلیدها را تحویل دادی، تو...
لمپریو.</v>
      </c>
    </row>
    <row r="164" spans="1:1" ht="15.75" customHeight="1" x14ac:dyDescent="0.3">
      <c r="A164" s="1" t="str">
        <f ca="1">IFERROR(__xludf.DUMMYFUNCTION("ARRAYFORMULA(GOOGLETRANSLATE(A:A, ""auto"", ""fa""))
"),"&lt;font color=""#FFFF00""&gt;(هق هق می‌کند و سپس آه می‌کشد)&lt;/font&gt;")</f>
        <v>&lt;font color="#FFFF00"&gt;(هق هق می‌کند و سپس آه می‌کشد)&lt;/font&gt;</v>
      </c>
    </row>
    <row r="165" spans="1:1" ht="15.75" customHeight="1" x14ac:dyDescent="0.3">
      <c r="A165" s="1" t="str">
        <f ca="1">IFERROR(__xludf.DUMMYFUNCTION("ARRAYFORMULA(GOOGLETRANSLATE(A:A, ""auto"", ""fa""))
"),"&lt;font color=""#FFFF00""&gt;(موجودی در نزدیکی غرش می‌کند)&lt;/font&gt;")</f>
        <v>&lt;font color="#FFFF00"&gt;(موجودی در نزدیکی غرش می‌کند)&lt;/font&gt;</v>
      </c>
    </row>
    <row r="166" spans="1:1" ht="15.75" customHeight="1" x14ac:dyDescent="0.3">
      <c r="A166" s="1" t="str">
        <f ca="1">IFERROR(__xludf.DUMMYFUNCTION("ARRAYFORMULA(GOOGLETRANSLATE(A:A, ""auto"", ""fa""))
"),"این خوب به نظر نمی‌رسد.")</f>
        <v>این خوب به نظر نمی‌رسد.</v>
      </c>
    </row>
    <row r="167" spans="1:1" ht="15.75" customHeight="1" x14ac:dyDescent="0.3">
      <c r="A167" s="1" t="str">
        <f ca="1">IFERROR(__xludf.DUMMYFUNCTION("ARRAYFORMULA(GOOGLETRANSLATE(A:A, ""auto"", ""fa""))
"),"&lt;font color=""#FFFF00""&gt;(غرغر)&lt;/font&gt;")</f>
        <v>&lt;font color="#FFFF00"&gt;(غرغر)&lt;/font&gt;</v>
      </c>
    </row>
    <row r="168" spans="1:1" ht="15.75" customHeight="1" x14ac:dyDescent="0.3">
      <c r="A168" s="1" t="str">
        <f ca="1">IFERROR(__xludf.DUMMYFUNCTION("ARRAYFORMULA(GOOGLETRANSLATE(A:A, ""auto"", ""fa""))
"),"&lt;font color=""#FF0000""&gt;رون:&lt;/font&gt; لعنت بهت.")</f>
        <v>&lt;font color="#FF0000"&gt;رون:&lt;/font&gt; لعنت بهت.</v>
      </c>
    </row>
    <row r="169" spans="1:1" ht="15.75" customHeight="1" x14ac:dyDescent="0.3">
      <c r="A169" s="1" t="str">
        <f ca="1">IFERROR(__xludf.DUMMYFUNCTION("ARRAYFORMULA(GOOGLETRANSLATE(A:A, ""auto"", ""fa""))
"),"اون یه شکم آهنین اوکراینیه.")</f>
        <v>اون یه شکم آهنین اوکراینیه.</v>
      </c>
    </row>
    <row r="170" spans="1:1" ht="15.75" customHeight="1" x14ac:dyDescent="0.3">
      <c r="A170" s="1" t="str">
        <f ca="1">IFERROR(__xludf.DUMMYFUNCTION("ARRAYFORMULA(GOOGLETRANSLATE(A:A, ""auto"", ""fa""))
"),"اینجا.")</f>
        <v>اینجا.</v>
      </c>
    </row>
    <row r="171" spans="1:1" ht="15.75" customHeight="1" x14ac:dyDescent="0.3">
      <c r="A171" s="1" t="str">
        <f ca="1">IFERROR(__xludf.DUMMYFUNCTION("ARRAYFORMULA(GOOGLETRANSLATE(A:A, ""auto"", ""fa""))
"),"&lt;font color=""#FFFF00""&gt;(غرش)&lt;/font&gt;")</f>
        <v>&lt;font color="#FFFF00"&gt;(غرش)&lt;/font&gt;</v>
      </c>
    </row>
    <row r="172" spans="1:1" ht="15.75" customHeight="1" x14ac:dyDescent="0.3">
      <c r="A172" s="1" t="str">
        <f ca="1">IFERROR(__xludf.DUMMYFUNCTION("ARRAYFORMULA(GOOGLETRANSLATE(A:A, ""auto"", ""fa""))
"),"طوری آموزش دیده که وقتی صدا را می‌شنود، انتظار درد داشته باشد.")</f>
        <v>طوری آموزش دیده که وقتی صدا را می‌شنود، انتظار درد داشته باشد.</v>
      </c>
    </row>
    <row r="173" spans="1:1" ht="15.75" customHeight="1" x14ac:dyDescent="0.3">
      <c r="A173" s="1" t="str">
        <f ca="1">IFERROR(__xludf.DUMMYFUNCTION("ARRAYFORMULA(GOOGLETRANSLATE(A:A, ""auto"", ""fa""))
"),"&lt;font color=""#FF0000""&gt;هرمیون:&lt;/font&gt; این خیلی وحشیانه‌ست.")</f>
        <v>&lt;font color="#FF0000"&gt;هرمیون:&lt;/font&gt; این خیلی وحشیانه‌ست.</v>
      </c>
    </row>
    <row r="174" spans="1:1" ht="15.75" customHeight="1" x14ac:dyDescent="0.3">
      <c r="A174" s="1" t="str">
        <f ca="1">IFERROR(__xludf.DUMMYFUNCTION("ARRAYFORMULA(GOOGLETRANSLATE(A:A, ""auto"", ""fa""))
"),"غرق شدن.")</f>
        <v>غرق شدن.</v>
      </c>
    </row>
    <row r="175" spans="1:1" ht="15.75" customHeight="1" x14ac:dyDescent="0.3">
      <c r="A175" s="1" t="str">
        <f ca="1">IFERROR(__xludf.DUMMYFUNCTION("ARRAYFORMULA(GOOGLETRANSLATE(A:A, ""auto"", ""fa""))
"),"لعنتی.")</f>
        <v>لعنتی.</v>
      </c>
    </row>
    <row r="176" spans="1:1" ht="15.75" customHeight="1" x14ac:dyDescent="0.3">
      <c r="A176" s="1" t="str">
        <f ca="1">IFERROR(__xludf.DUMMYFUNCTION("ARRAYFORMULA(GOOGLETRANSLATE(A:A, ""auto"", ""fa""))
"),"آکیو هورکراکس.")</f>
        <v>آکیو هورکراکس.</v>
      </c>
    </row>
    <row r="177" spans="1:1" ht="15.75" customHeight="1" x14ac:dyDescent="0.3">
      <c r="A177" s="1" t="str">
        <f ca="1">IFERROR(__xludf.DUMMYFUNCTION("ARRAYFORMULA(GOOGLETRANSLATE(A:A, ""auto"", ""fa""))
"),"دوباره که اون یکی رو امتحان نمی‌کنی، درسته؟")</f>
        <v>دوباره که اون یکی رو امتحان نمی‌کنی، درسته؟</v>
      </c>
    </row>
    <row r="178" spans="1:1" ht="15.75" customHeight="1" x14ac:dyDescent="0.3">
      <c r="A178" s="1" t="str">
        <f ca="1">IFERROR(__xludf.DUMMYFUNCTION("ARRAYFORMULA(GOOGLETRANSLATE(A:A, ""auto"", ""fa""))
"),"&lt;font color=""#FF0000""&gt;گریفوک:&lt;/font&gt; اون نوع جادو اینجا جواب نمیده.")</f>
        <v>&lt;font color="#FF0000"&gt;گریفوک:&lt;/font&gt; اون نوع جادو اینجا جواب نمیده.</v>
      </c>
    </row>
    <row r="179" spans="1:1" ht="15.75" customHeight="1" x14ac:dyDescent="0.3">
      <c r="A179" s="1" t="str">
        <f ca="1">IFERROR(__xludf.DUMMYFUNCTION("ARRAYFORMULA(GOOGLETRANSLATE(A:A, ""auto"", ""fa""))
"),"&lt;font color=""#FF0000""&gt;رون:&lt;/font&gt; اینجا هست، هری؟")</f>
        <v>&lt;font color="#FF0000"&gt;رون:&lt;/font&gt; اینجا هست، هری؟</v>
      </c>
    </row>
    <row r="180" spans="1:1" ht="15.75" customHeight="1" x14ac:dyDescent="0.3">
      <c r="A180" s="1" t="str">
        <f ca="1">IFERROR(__xludf.DUMMYFUNCTION("ARRAYFORMULA(GOOGLETRANSLATE(A:A, ""auto"", ""fa""))
"),"آیا چیزی حس می‌کنی؟")</f>
        <v>آیا چیزی حس می‌کنی؟</v>
      </c>
    </row>
    <row r="181" spans="1:1" ht="15.75" customHeight="1" x14ac:dyDescent="0.3">
      <c r="A181" s="1" t="str">
        <f ca="1">IFERROR(__xludf.DUMMYFUNCTION("ARRAYFORMULA(GOOGLETRANSLATE(A:A, ""auto"", ""fa""))
"),"&lt;font color=""#FFFF00""&gt;(صدای هیس و زمزمه‌ای ضعیف)&lt;/font&gt;")</f>
        <v>&lt;font color="#FFFF00"&gt;(صدای هیس و زمزمه‌ای ضعیف)&lt;/font&gt;</v>
      </c>
    </row>
    <row r="182" spans="1:1" ht="15.75" customHeight="1" x14ac:dyDescent="0.3">
      <c r="A182" s="1" t="str">
        <f ca="1">IFERROR(__xludf.DUMMYFUNCTION("ARRAYFORMULA(GOOGLETRANSLATE(A:A, ""auto"", ""fa""))
"),"&lt;font color=""#FFFF00""&gt;(هرمیون نفس نفس می‌زند)&lt;/font&gt;")</f>
        <v>&lt;font color="#FFFF00"&gt;(هرمیون نفس نفس می‌زند)&lt;/font&gt;</v>
      </c>
    </row>
    <row r="183" spans="1:1" ht="15.75" customHeight="1" x14ac:dyDescent="0.3">
      <c r="A183" s="1" t="str">
        <f ca="1">IFERROR(__xludf.DUMMYFUNCTION("ARRAYFORMULA(GOOGLETRANSLATE(A:A, ""auto"", ""fa""))
"),"همینه. اون بالا.")</f>
        <v>همینه. اون بالا.</v>
      </c>
    </row>
    <row r="184" spans="1:1" ht="15.75" customHeight="1" x14ac:dyDescent="0.3">
      <c r="A184" s="1" t="str">
        <f ca="1">IFERROR(__xludf.DUMMYFUNCTION("ARRAYFORMULA(GOOGLETRANSLATE(A:A, ""auto"", ""fa""))
"),"اونا نفرین جمینو رو اضافه کردن. هر چیزی که لمس کنی چند برابر میشه.")</f>
        <v>اونا نفرین جمینو رو اضافه کردن. هر چیزی که لمس کنی چند برابر میشه.</v>
      </c>
    </row>
    <row r="185" spans="1:1" ht="15.75" customHeight="1" x14ac:dyDescent="0.3">
      <c r="A185" s="1" t="str">
        <f ca="1">IFERROR(__xludf.DUMMYFUNCTION("ARRAYFORMULA(GOOGLETRANSLATE(A:A, ""auto"", ""fa""))
"),"شمشیر را به من بده.")</f>
        <v>شمشیر را به من بده.</v>
      </c>
    </row>
    <row r="186" spans="1:1" ht="15.75" customHeight="1" x14ac:dyDescent="0.3">
      <c r="A186" s="1" t="str">
        <f ca="1">IFERROR(__xludf.DUMMYFUNCTION("ARRAYFORMULA(GOOGLETRANSLATE(A:A, ""auto"", ""fa""))
"),"حرکت را متوقف کنید.")</f>
        <v>حرکت را متوقف کنید.</v>
      </c>
    </row>
    <row r="187" spans="1:1" ht="15.75" customHeight="1" x14ac:dyDescent="0.3">
      <c r="A187" s="1" t="str">
        <f ca="1">IFERROR(__xludf.DUMMYFUNCTION("ARRAYFORMULA(GOOGLETRANSLATE(A:A, ""auto"", ""fa""))
"),"گرفتمش.")</f>
        <v>گرفتمش.</v>
      </c>
    </row>
    <row r="188" spans="1:1" ht="15.75" customHeight="1" x14ac:dyDescent="0.3">
      <c r="A188" s="1" t="str">
        <f ca="1">IFERROR(__xludf.DUMMYFUNCTION("ARRAYFORMULA(GOOGLETRANSLATE(A:A, ""auto"", ""fa""))
"),"ما یه قراری داشتیم، گریپهوک.")</f>
        <v>ما یه قراری داشتیم، گریپهوک.</v>
      </c>
    </row>
    <row r="189" spans="1:1" ht="15.75" customHeight="1" x14ac:dyDescent="0.3">
      <c r="A189" s="1" t="str">
        <f ca="1">IFERROR(__xludf.DUMMYFUNCTION("ARRAYFORMULA(GOOGLETRANSLATE(A:A, ""auto"", ""fa""))
"),"جام برای شمشیر.")</f>
        <v>جام برای شمشیر.</v>
      </c>
    </row>
    <row r="190" spans="1:1" ht="15.75" customHeight="1" x14ac:dyDescent="0.3">
      <c r="A190" s="1" t="str">
        <f ca="1">IFERROR(__xludf.DUMMYFUNCTION("ARRAYFORMULA(GOOGLETRANSLATE(A:A, ""auto"", ""fa""))
"),"گفتم می‌برمت داخل. چیزی در مورد بیرون آوردنت نگفتم.")</f>
        <v>گفتم می‌برمت داخل. چیزی در مورد بیرون آوردنت نگفتم.</v>
      </c>
    </row>
    <row r="191" spans="1:1" ht="15.75" customHeight="1" x14ac:dyDescent="0.3">
      <c r="A191" s="1" t="str">
        <f ca="1">IFERROR(__xludf.DUMMYFUNCTION("ARRAYFORMULA(GOOGLETRANSLATE(A:A, ""auto"", ""fa""))
"),"&lt;font color=""#FF0000""&gt;هری:&lt;/font&gt; گریپهوک!")</f>
        <v>&lt;font color="#FF0000"&gt;هری:&lt;/font&gt; گریپهوک!</v>
      </c>
    </row>
    <row r="192" spans="1:1" ht="15.75" customHeight="1" x14ac:dyDescent="0.3">
      <c r="A192" s="1" t="str">
        <f ca="1">IFERROR(__xludf.DUMMYFUNCTION("ARRAYFORMULA(GOOGLETRANSLATE(A:A, ""auto"", ""fa""))
"),"&lt;font color=""#FF0000""&gt;گریفوک:&lt;/font&gt; دزدها! کمک!
گریفوک!")</f>
        <v>&lt;font color="#FF0000"&gt;گریفوک:&lt;/font&gt; دزدها! کمک!
گریفوک!</v>
      </c>
    </row>
    <row r="193" spans="1:1" ht="15.75" customHeight="1" x14ac:dyDescent="0.3">
      <c r="A193" s="1" t="str">
        <f ca="1">IFERROR(__xludf.DUMMYFUNCTION("ARRAYFORMULA(GOOGLETRANSLATE(A:A, ""auto"", ""fa""))
"),"دزدها!")</f>
        <v>دزدها!</v>
      </c>
    </row>
    <row r="194" spans="1:1" ht="15.75" customHeight="1" x14ac:dyDescent="0.3">
      <c r="A194" s="1" t="str">
        <f ca="1">IFERROR(__xludf.DUMMYFUNCTION("ARRAYFORMULA(GOOGLETRANSLATE(A:A, ""auto"", ""fa""))
"),"&lt;font color=""#FFFF00""&gt;(باغراد ریز ریز می‌خندد)&lt;/font&gt;")</f>
        <v>&lt;font color="#FFFF00"&gt;(باغراد ریز ریز می‌خندد)&lt;/font&gt;</v>
      </c>
    </row>
    <row r="195" spans="1:1" ht="15.75" customHeight="1" x14ac:dyDescent="0.3">
      <c r="A195" s="1" t="str">
        <f ca="1">IFERROR(__xludf.DUMMYFUNCTION("ARRAYFORMULA(GOOGLETRANSLATE(A:A, ""auto"", ""fa""))
"),"احمق کوچولو. حداقلش اینه که هنوز بوگرود رو داریم.")</f>
        <v>احمق کوچولو. حداقلش اینه که هنوز بوگرود رو داریم.</v>
      </c>
    </row>
    <row r="196" spans="1:1" ht="15.75" customHeight="1" x14ac:dyDescent="0.3">
      <c r="A196" s="1" t="str">
        <f ca="1">IFERROR(__xludf.DUMMYFUNCTION("ARRAYFORMULA(GOOGLETRANSLATE(A:A, ""auto"", ""fa""))
"),"این مایه تاسف است.")</f>
        <v>این مایه تاسف است.</v>
      </c>
    </row>
    <row r="197" spans="1:1" ht="15.75" customHeight="1" x14ac:dyDescent="0.3">
      <c r="A197" s="1" t="str">
        <f ca="1">IFERROR(__xludf.DUMMYFUNCTION("ARRAYFORMULA(GOOGLETRANSLATE(A:A, ""auto"", ""fa""))
"),"&lt;font color=""#FF0000""&gt;هرمیون:&lt;/font&gt; ما که نمی‌تونیم همین‌طوری اینجا بایستیم. کی می‌تونه یه فکری بکنه؟")</f>
        <v>&lt;font color="#FF0000"&gt;هرمیون:&lt;/font&gt; ما که نمی‌تونیم همین‌طوری اینجا بایستیم. کی می‌تونه یه فکری بکنه؟</v>
      </c>
    </row>
    <row r="198" spans="1:1" ht="15.75" customHeight="1" x14ac:dyDescent="0.3">
      <c r="A198" s="1" t="str">
        <f ca="1">IFERROR(__xludf.DUMMYFUNCTION("ARRAYFORMULA(GOOGLETRANSLATE(A:A, ""auto"", ""fa""))
"),"تو فوق‌العاده‌ای. (Too kheyli khoshmaze kon)")</f>
        <v>تو فوق‌العاده‌ای. (Too kheyli khoshmaze kon)</v>
      </c>
    </row>
    <row r="199" spans="1:1" ht="15.75" customHeight="1" x14ac:dyDescent="0.3">
      <c r="A199" s="1" t="str">
        <f ca="1">IFERROR(__xludf.DUMMYFUNCTION("ARRAYFORMULA(GOOGLETRANSLATE(A:A, ""auto"", ""fa""))
"),"یه چیزی دارم، اما خیلی اعصاب خورد کنه.")</f>
        <v>یه چیزی دارم، اما خیلی اعصاب خورد کنه.</v>
      </c>
    </row>
    <row r="200" spans="1:1" ht="15.75" customHeight="1" x14ac:dyDescent="0.3">
      <c r="A200" s="1" t="str">
        <f ca="1">IFERROR(__xludf.DUMMYFUNCTION("ARRAYFORMULA(GOOGLETRANSLATE(A:A, ""auto"", ""fa""))
"),"ردوت")</f>
        <v>ردوت</v>
      </c>
    </row>
    <row r="201" spans="1:1" ht="15.75" customHeight="1" x14ac:dyDescent="0.3">
      <c r="A201" s="1" t="str">
        <f ca="1">IFERROR(__xludf.DUMMYFUNCTION("ARRAYFORMULA(GOOGLETRANSLATE(A:A, ""auto"", ""fa""))
"),"خب، پس بفرمایید.")</f>
        <v>خب، پس بفرمایید.</v>
      </c>
    </row>
    <row r="202" spans="1:1" ht="15.75" customHeight="1" x14ac:dyDescent="0.3">
      <c r="A202" s="1" t="str">
        <f ca="1">IFERROR(__xludf.DUMMYFUNCTION("ARRAYFORMULA(GOOGLETRANSLATE(A:A, ""auto"", ""fa""))
"),"ریلاشیو")</f>
        <v>ریلاشیو</v>
      </c>
    </row>
    <row r="203" spans="1:1" ht="15.75" customHeight="1" x14ac:dyDescent="0.3">
      <c r="A203" s="1" t="str">
        <f ca="1">IFERROR(__xludf.DUMMYFUNCTION("ARRAYFORMULA(GOOGLETRANSLATE(A:A, ""auto"", ""fa""))
"),"&lt;font color=""#FFFF00""&gt;(غرش ضعیف)&lt;/font&gt;")</f>
        <v>&lt;font color="#FFFF00"&gt;(غرش ضعیف)&lt;/font&gt;</v>
      </c>
    </row>
    <row r="204" spans="1:1" ht="15.75" customHeight="1" x14ac:dyDescent="0.3">
      <c r="A204" s="1" t="str">
        <f ca="1">IFERROR(__xludf.DUMMYFUNCTION("ARRAYFORMULA(GOOGLETRANSLATE(A:A, ""auto"", ""fa""))
"),"&lt;font color=""#FFFF00""&gt;(همه فریاد می‌زنند)&lt;/font&gt;")</f>
        <v>&lt;font color="#FFFF00"&gt;(همه فریاد می‌زنند)&lt;/font&gt;</v>
      </c>
    </row>
    <row r="205" spans="1:1" ht="15.75" customHeight="1" x14ac:dyDescent="0.3">
      <c r="A205" s="1" t="str">
        <f ca="1">IFERROR(__xludf.DUMMYFUNCTION("ARRAYFORMULA(GOOGLETRANSLATE(A:A, ""auto"", ""fa""))
"),"&lt;font color=""#FF0000""&gt;گابلین:&lt;/font&gt; داره تکون می‌خوره! آآآه!")</f>
        <v>&lt;font color="#FF0000"&gt;گابلین:&lt;/font&gt; داره تکون می‌خوره! آآآه!</v>
      </c>
    </row>
    <row r="206" spans="1:1" ht="15.75" customHeight="1" x14ac:dyDescent="0.3">
      <c r="A206" s="1" t="str">
        <f ca="1">IFERROR(__xludf.DUMMYFUNCTION("ARRAYFORMULA(GOOGLETRANSLATE(A:A, ""auto"", ""fa""))
"),"&lt;font color=""#FFFF00""&gt;(نفس نفس زدن)&lt;/font&gt;")</f>
        <v>&lt;font color="#FFFF00"&gt;(نفس نفس زدن)&lt;/font&gt;</v>
      </c>
    </row>
    <row r="207" spans="1:1" ht="15.75" customHeight="1" x14ac:dyDescent="0.3">
      <c r="A207" s="1" t="str">
        <f ca="1">IFERROR(__xludf.DUMMYFUNCTION("ARRAYFORMULA(GOOGLETRANSLATE(A:A, ""auto"", ""fa""))
"),"&lt;font color=""#FF0000""&gt;رون:&lt;/font&gt; حالا چی؟")</f>
        <v>&lt;font color="#FF0000"&gt;رون:&lt;/font&gt; حالا چی؟</v>
      </c>
    </row>
    <row r="208" spans="1:1" ht="15.75" customHeight="1" x14ac:dyDescent="0.3">
      <c r="A208" s="1" t="str">
        <f ca="1">IFERROR(__xludf.DUMMYFUNCTION("ARRAYFORMULA(GOOGLETRANSLATE(A:A, ""auto"", ""fa""))
"),"ردوت")</f>
        <v>ردوت</v>
      </c>
    </row>
    <row r="209" spans="1:1" ht="15.75" customHeight="1" x14ac:dyDescent="0.3">
      <c r="A209" s="1" t="str">
        <f ca="1">IFERROR(__xludf.DUMMYFUNCTION("ARRAYFORMULA(GOOGLETRANSLATE(A:A, ""auto"", ""fa""))
"),"صبر کن.")</f>
        <v>صبر کن.</v>
      </c>
    </row>
    <row r="210" spans="1:1" ht="15.75" customHeight="1" x14ac:dyDescent="0.3">
      <c r="A210" s="1" t="str">
        <f ca="1">IFERROR(__xludf.DUMMYFUNCTION("ARRAYFORMULA(GOOGLETRANSLATE(A:A, ""auto"", ""fa""))
"),"&lt;font color=""#FF0000""&gt;رون:&lt;/font&gt; اون عالی بود.
کاملاً عالی.")</f>
        <v>&lt;font color="#FF0000"&gt;رون:&lt;/font&gt; اون عالی بود.
کاملاً عالی.</v>
      </c>
    </row>
    <row r="211" spans="1:1" ht="15.75" customHeight="1" x14ac:dyDescent="0.3">
      <c r="A211" s="1" t="str">
        <f ca="1">IFERROR(__xludf.DUMMYFUNCTION("ARRAYFORMULA(GOOGLETRANSLATE(A:A, ""auto"", ""fa""))
"),"&lt;font color=""#FF0000""&gt;هری:&lt;/font&gt; داریم میریم.")</f>
        <v>&lt;font color="#FF0000"&gt;هری:&lt;/font&gt; داریم میریم.</v>
      </c>
    </row>
    <row r="212" spans="1:1" ht="15.75" customHeight="1" x14ac:dyDescent="0.3">
      <c r="A212" s="1" t="str">
        <f ca="1">IFERROR(__xludf.DUMMYFUNCTION("ARRAYFORMULA(GOOGLETRANSLATE(A:A, ""auto"", ""fa""))
"),"&lt;font color=""#FF0000""&gt;رون:&lt;/font&gt; من میگم بپریم.
کی؟")</f>
        <v>&lt;font color="#FF0000"&gt;رون:&lt;/font&gt; من میگم بپریم.
کی؟</v>
      </c>
    </row>
    <row r="213" spans="1:1" ht="15.75" customHeight="1" x14ac:dyDescent="0.3">
      <c r="A213" s="1" t="str">
        <f ca="1">IFERROR(__xludf.DUMMYFUNCTION("ARRAYFORMULA(GOOGLETRANSLATE(A:A, ""auto"", ""fa""))
"),"حالا.")</f>
        <v>حالا.</v>
      </c>
    </row>
    <row r="214" spans="1:1" ht="15.75" customHeight="1" x14ac:dyDescent="0.3">
      <c r="A214" s="1" t="str">
        <f ca="1">IFERROR(__xludf.DUMMYFUNCTION("ARRAYFORMULA(GOOGLETRANSLATE(A:A, ""auto"", ""fa""))
"),"&lt;font color=""#FFFF00""&gt;(فریاد)&lt;/font&gt;")</f>
        <v>&lt;font color="#FFFF00"&gt;(فریاد)&lt;/font&gt;</v>
      </c>
    </row>
    <row r="215" spans="1:1" ht="15.75" customHeight="1" x14ac:dyDescent="0.3">
      <c r="A215" s="1" t="str">
        <f ca="1">IFERROR(__xludf.DUMMYFUNCTION("ARRAYFORMULA(GOOGLETRANSLATE(A:A, ""auto"", ""fa""))
"),"&lt;font color=""#FFFF00""&gt;(نفس نفس زدن)&lt;/font&gt;")</f>
        <v>&lt;font color="#FFFF00"&gt;(نفس نفس زدن)&lt;/font&gt;</v>
      </c>
    </row>
    <row r="216" spans="1:1" ht="15.75" customHeight="1" x14ac:dyDescent="0.3">
      <c r="A216" s="1" t="str">
        <f ca="1">IFERROR(__xludf.DUMMYFUNCTION("ARRAYFORMULA(GOOGLETRANSLATE(A:A, ""auto"", ""fa""))
"),"&lt;font color=""#FFFF00""&gt;(همه نفس نفس می‌زنند)&lt;/font&gt;")</f>
        <v>&lt;font color="#FFFF00"&gt;(همه نفس نفس می‌زنند)&lt;/font&gt;</v>
      </c>
    </row>
    <row r="217" spans="1:1" ht="15.75" customHeight="1" x14ac:dyDescent="0.3">
      <c r="A217" s="1" t="str">
        <f ca="1">IFERROR(__xludf.DUMMYFUNCTION("ARRAYFORMULA(GOOGLETRANSLATE(A:A, ""auto"", ""fa""))
"),"او می‌داند. (او می‌داند.)")</f>
        <v>او می‌داند. (او می‌داند.)</v>
      </c>
    </row>
    <row r="218" spans="1:1" ht="15.75" customHeight="1" x14ac:dyDescent="0.3">
      <c r="A218" s="1" t="str">
        <f ca="1">IFERROR(__xludf.DUMMYFUNCTION("ARRAYFORMULA(GOOGLETRANSLATE(A:A, ""auto"", ""fa""))
"),"اون می‌دونه که ما مخفیانه وارد گرینگوتز شدیم.")</f>
        <v>اون می‌دونه که ما مخفیانه وارد گرینگوتز شدیم.</v>
      </c>
    </row>
    <row r="219" spans="1:1" ht="15.75" customHeight="1" x14ac:dyDescent="0.3">
      <c r="A219" s="1" t="str">
        <f ca="1">IFERROR(__xludf.DUMMYFUNCTION("ARRAYFORMULA(GOOGLETRANSLATE(A:A, ""auto"", ""fa""))
"),"او می‌داند ما چه چیزی را برداشته‌ایم و می‌داند که ما در حال شکار هورکراکس هستیم.")</f>
        <v>او می‌داند ما چه چیزی را برداشته‌ایم و می‌داند که ما در حال شکار هورکراکس هستیم.</v>
      </c>
    </row>
    <row r="220" spans="1:1" ht="15.75" customHeight="1" x14ac:dyDescent="0.3">
      <c r="A220" s="1" t="str">
        <f ca="1">IFERROR(__xludf.DUMMYFUNCTION("ARRAYFORMULA(GOOGLETRANSLATE(A:A, ""auto"", ""fa""))
"),"از کجا میدونی؟ من دیدمش.")</f>
        <v>از کجا میدونی؟ من دیدمش.</v>
      </c>
    </row>
    <row r="221" spans="1:1" ht="15.75" customHeight="1" x14ac:dyDescent="0.3">
      <c r="A221" s="1" t="str">
        <f ca="1">IFERROR(__xludf.DUMMYFUNCTION("ARRAYFORMULA(GOOGLETRANSLATE(A:A, ""auto"", ""fa""))
"),"&lt;font color=""#FF0000""&gt;هرمیون:&lt;/font&gt; گذاشتی بیاد تو؟
هری، تو نمی‌تونی این کار رو بکنی.")</f>
        <v>&lt;font color="#FF0000"&gt;هرمیون:&lt;/font&gt; گذاشتی بیاد تو؟
هری، تو نمی‌تونی این کار رو بکنی.</v>
      </c>
    </row>
    <row r="222" spans="1:1" ht="15.75" customHeight="1" x14ac:dyDescent="0.3">
      <c r="A222" s="1" t="str">
        <f ca="1">IFERROR(__xludf.DUMMYFUNCTION("ARRAYFORMULA(GOOGLETRANSLATE(A:A, ""auto"", ""fa""))
"),"هرمیون، من همیشه نمی‌تونم جلوی خودمو بگیرم. خب، شاید بتونم. نمی‌دونم.")</f>
        <v>هرمیون، من همیشه نمی‌تونم جلوی خودمو بگیرم. خب، شاید بتونم. نمی‌دونم.</v>
      </c>
    </row>
    <row r="223" spans="1:1" ht="15.75" customHeight="1" x14ac:dyDescent="0.3">
      <c r="A223" s="1" t="str">
        <f ca="1">IFERROR(__xludf.DUMMYFUNCTION("ARRAYFORMULA(GOOGLETRANSLATE(A:A, ""auto"", ""fa""))
"),"&lt;font color=""#FF0000""&gt;رون:&lt;/font&gt; مهم نیست. چی شده؟")</f>
        <v>&lt;font color="#FF0000"&gt;رون:&lt;/font&gt; مهم نیست. چی شده؟</v>
      </c>
    </row>
    <row r="224" spans="1:1" ht="15.75" customHeight="1" x14ac:dyDescent="0.3">
      <c r="A224" s="1" t="str">
        <f ca="1">IFERROR(__xludf.DUMMYFUNCTION("ARRAYFORMULA(GOOGLETRANSLATE(A:A, ""auto"", ""fa""))
"),"خب، عصبانی است.")</f>
        <v>خب، عصبانی است.</v>
      </c>
    </row>
    <row r="225" spans="1:1" ht="15.75" customHeight="1" x14ac:dyDescent="0.3">
      <c r="A225" s="1" t="str">
        <f ca="1">IFERROR(__xludf.DUMMYFUNCTION("ARRAYFORMULA(GOOGLETRANSLATE(A:A, ""auto"", ""fa""))
"),"و خیلی هم ترسیده.")</f>
        <v>و خیلی هم ترسیده.</v>
      </c>
    </row>
    <row r="226" spans="1:1" ht="15.75" customHeight="1" x14ac:dyDescent="0.3">
      <c r="A226" s="1" t="str">
        <f ca="1">IFERROR(__xludf.DUMMYFUNCTION("ARRAYFORMULA(GOOGLETRANSLATE(A:A, ""auto"", ""fa""))
"),"او می‌داند که اگر همه هورکراکس‌ها را پیدا و نابود کنیم، می‌توانیم او را بکشیم.")</f>
        <v>او می‌داند که اگر همه هورکراکس‌ها را پیدا و نابود کنیم، می‌توانیم او را بکشیم.</v>
      </c>
    </row>
    <row r="227" spans="1:1" ht="15.75" customHeight="1" x14ac:dyDescent="0.3">
      <c r="A227" s="1" t="str">
        <f ca="1">IFERROR(__xludf.DUMMYFUNCTION("ARRAYFORMULA(GOOGLETRANSLATE(A:A, ""auto"", ""fa""))
"),"فکر می‌کنم از هیچ کاری دریغ نمی‌کند تا مطمئن شود بقیه‌اش را پیدا نمی‌کنیم.")</f>
        <v>فکر می‌کنم از هیچ کاری دریغ نمی‌کند تا مطمئن شود بقیه‌اش را پیدا نمی‌کنیم.</v>
      </c>
    </row>
    <row r="228" spans="1:1" ht="15.75" customHeight="1" x14ac:dyDescent="0.3">
      <c r="A228" s="1" t="str">
        <f ca="1">IFERROR(__xludf.DUMMYFUNCTION("ARRAYFORMULA(GOOGLETRANSLATE(A:A, ""auto"", ""fa""))
"),"بیشتر هم هست. یکی از آنها در هاگوارتز است.")</f>
        <v>بیشتر هم هست. یکی از آنها در هاگوارتز است.</v>
      </c>
    </row>
    <row r="229" spans="1:1" ht="15.75" customHeight="1" x14ac:dyDescent="0.3">
      <c r="A229" s="1" t="str">
        <f ca="1">IFERROR(__xludf.DUMMYFUNCTION("ARRAYFORMULA(GOOGLETRANSLATE(A:A, ""auto"", ""fa""))
"),"&lt;font color=""#FF0000""&gt;هرمیون:&lt;/font&gt; چی؟")</f>
        <v>&lt;font color="#FF0000"&gt;هرمیون:&lt;/font&gt; چی؟</v>
      </c>
    </row>
    <row r="230" spans="1:1" ht="15.75" customHeight="1" x14ac:dyDescent="0.3">
      <c r="A230" s="1" t="str">
        <f ca="1">IFERROR(__xludf.DUMMYFUNCTION("ARRAYFORMULA(GOOGLETRANSLATE(A:A, ""auto"", ""fa""))
"),"دیدیش؟ من قلعه و روونا ریونکلاو رو دیدم.")</f>
        <v>دیدیش؟ من قلعه و روونا ریونکلاو رو دیدم.</v>
      </c>
    </row>
    <row r="231" spans="1:1" ht="15.75" customHeight="1" x14ac:dyDescent="0.3">
      <c r="A231" s="1" t="str">
        <f ca="1">IFERROR(__xludf.DUMMYFUNCTION("ARRAYFORMULA(GOOGLETRANSLATE(A:A, ""auto"", ""fa""))
"),"حتماً به او مربوط می‌شود. ما الان باید به آنجا برویم.")</f>
        <v>حتماً به او مربوط می‌شود. ما الان باید به آنجا برویم.</v>
      </c>
    </row>
    <row r="232" spans="1:1" ht="15.75" customHeight="1" x14ac:dyDescent="0.3">
      <c r="A232" s="1" t="str">
        <f ca="1">IFERROR(__xludf.DUMMYFUNCTION("ARRAYFORMULA(GOOGLETRANSLATE(A:A, ""auto"", ""fa""))
"),"ما نمی‌توانیم این کار را انجام دهیم. ما باید برنامه‌ریزی کنیم. ما باید آن را بفهمیم.")</f>
        <v>ما نمی‌توانیم این کار را انجام دهیم. ما باید برنامه‌ریزی کنیم. ما باید آن را بفهمیم.</v>
      </c>
    </row>
    <row r="233" spans="1:1" ht="15.75" customHeight="1" x14ac:dyDescent="0.3">
      <c r="A233" s="1" t="str">
        <f ca="1">IFERROR(__xludf.DUMMYFUNCTION("ARRAYFORMULA(GOOGLETRANSLATE(A:A, ""auto"", ""fa""))
"),"هرمیون، کی تا حالا نقشه‌هامون عملی شده؟")</f>
        <v>هرمیون، کی تا حالا نقشه‌هامون عملی شده؟</v>
      </c>
    </row>
    <row r="234" spans="1:1" ht="15.75" customHeight="1" x14ac:dyDescent="0.3">
      <c r="A234" s="1" t="str">
        <f ca="1">IFERROR(__xludf.DUMMYFUNCTION("ARRAYFORMULA(GOOGLETRANSLATE(A:A, ""auto"", ""fa""))
"),"ما برنامه‌ریزی می‌کنیم، به آنجا می‌رسیم، همه چیز به هم می‌ریزد.")</f>
        <v>ما برنامه‌ریزی می‌کنیم، به آنجا می‌رسیم، همه چیز به هم می‌ریزد.</v>
      </c>
    </row>
    <row r="235" spans="1:1" ht="15.75" customHeight="1" x14ac:dyDescent="0.3">
      <c r="A235" s="1" t="str">
        <f ca="1">IFERROR(__xludf.DUMMYFUNCTION("ARRAYFORMULA(GOOGLETRANSLATE(A:A, ""auto"", ""fa""))
"),"حق با اوست.")</f>
        <v>حق با اوست.</v>
      </c>
    </row>
    <row r="236" spans="1:1" ht="15.75" customHeight="1" x14ac:dyDescent="0.3">
      <c r="A236" s="1" t="str">
        <f ca="1">IFERROR(__xludf.DUMMYFUNCTION("ARRAYFORMULA(GOOGLETRANSLATE(A:A, ""auto"", ""fa""))
"),"یه مشکل: الان مدیر مدرسه اسنیپ شده. ما نمی‌تونیم همینجوری از در ورودی رد بشیم.")</f>
        <v>یه مشکل: الان مدیر مدرسه اسنیپ شده. ما نمی‌تونیم همینجوری از در ورودی رد بشیم.</v>
      </c>
    </row>
    <row r="237" spans="1:1" ht="15.75" customHeight="1" x14ac:dyDescent="0.3">
      <c r="A237" s="1" t="str">
        <f ca="1">IFERROR(__xludf.DUMMYFUNCTION("ARRAYFORMULA(GOOGLETRANSLATE(A:A, ""auto"", ""fa""))
"),"امم، خب، ما به هاگزمید، به هانی دوکس میریم.")</f>
        <v>امم، خب، ما به هاگزمید، به هانی دوکس میریم.</v>
      </c>
    </row>
    <row r="238" spans="1:1" ht="15.75" customHeight="1" x14ac:dyDescent="0.3">
      <c r="A238" s="1" t="str">
        <f ca="1">IFERROR(__xludf.DUMMYFUNCTION("ARRAYFORMULA(GOOGLETRANSLATE(A:A, ""auto"", ""fa""))
"),"از گذرگاه مخفی در زیرزمین عبور کنید.")</f>
        <v>از گذرگاه مخفی در زیرزمین عبور کنید.</v>
      </c>
    </row>
    <row r="239" spans="1:1" ht="15.75" customHeight="1" x14ac:dyDescent="0.3">
      <c r="A239" s="1" t="str">
        <f ca="1">IFERROR(__xludf.DUMMYFUNCTION("ARRAYFORMULA(GOOGLETRANSLATE(A:A, ""auto"", ""fa""))
"),"یه مشکلی براش پیش اومده... یه چیزیش شده.")</f>
        <v>یه مشکلی براش پیش اومده... یه چیزیش شده.</v>
      </c>
    </row>
    <row r="240" spans="1:1" ht="15.75" customHeight="1" x14ac:dyDescent="0.3">
      <c r="A240" s="1" t="str">
        <f ca="1">IFERROR(__xludf.DUMMYFUNCTION("ARRAYFORMULA(GOOGLETRANSLATE(A:A, ""auto"", ""fa""))
"),"انگار قبلاً همیشه می‌توانستم افکارش را دنبال کنم.")</f>
        <v>انگار قبلاً همیشه می‌توانستم افکارش را دنبال کنم.</v>
      </c>
    </row>
    <row r="241" spans="1:1" ht="15.75" customHeight="1" x14ac:dyDescent="0.3">
      <c r="A241" s="1" t="str">
        <f ca="1">IFERROR(__xludf.DUMMYFUNCTION("ARRAYFORMULA(GOOGLETRANSLATE(A:A, ""auto"", ""fa""))
"),"و حالا همه چیز انگار از هم جدا شده است.")</f>
        <v>و حالا همه چیز انگار از هم جدا شده است.</v>
      </c>
    </row>
    <row r="242" spans="1:1" ht="15.75" customHeight="1" x14ac:dyDescent="0.3">
      <c r="A242" s="1" t="str">
        <f ca="1">IFERROR(__xludf.DUMMYFUNCTION("ARRAYFORMULA(GOOGLETRANSLATE(A:A, ""auto"", ""fa""))
"),"شاید به خاطر هورکراکس‌ها باشه.")</f>
        <v>شاید به خاطر هورکراکس‌ها باشه.</v>
      </c>
    </row>
    <row r="243" spans="1:1" ht="15.75" customHeight="1" x14ac:dyDescent="0.3">
      <c r="A243" s="1" t="str">
        <f ca="1">IFERROR(__xludf.DUMMYFUNCTION("ARRAYFORMULA(GOOGLETRANSLATE(A:A, ""auto"", ""fa""))
"),"شاید او دارد ضعیف‌تر می‌شود. شاید دارد می‌میرد.")</f>
        <v>شاید او دارد ضعیف‌تر می‌شود. شاید دارد می‌میرد.</v>
      </c>
    </row>
    <row r="244" spans="1:1" ht="15.75" customHeight="1" x14ac:dyDescent="0.3">
      <c r="A244" s="1" t="str">
        <f ca="1">IFERROR(__xludf.DUMMYFUNCTION("ARRAYFORMULA(GOOGLETRANSLATE(A:A, ""auto"", ""fa""))
"),"نه. نه، بیشتر انگار زخمی شده.")</f>
        <v>نه. نه، بیشتر انگار زخمی شده.</v>
      </c>
    </row>
    <row r="245" spans="1:1" ht="15.75" customHeight="1" x14ac:dyDescent="0.3">
      <c r="A245" s="1" t="str">
        <f ca="1">IFERROR(__xludf.DUMMYFUNCTION("ARRAYFORMULA(GOOGLETRANSLATE(A:A, ""auto"", ""fa""))
"),"اگر اینطور باشد، او بیشتر احساس خطر می‌کند.")</f>
        <v>اگر اینطور باشد، او بیشتر احساس خطر می‌کند.</v>
      </c>
    </row>
    <row r="246" spans="1:1" ht="15.75" customHeight="1" x14ac:dyDescent="0.3">
      <c r="A246" s="1" t="str">
        <f ca="1">IFERROR(__xludf.DUMMYFUNCTION("ARRAYFORMULA(GOOGLETRANSLATE(A:A, ""auto"", ""fa""))
"),"&lt;font color=""#FFFF00""&gt;(ولدمورت به زبان پارسی)&lt;/font&gt;")</f>
        <v>&lt;font color="#FFFF00"&gt;(ولدمورت به زبان پارسی)&lt;/font&gt;</v>
      </c>
    </row>
    <row r="247" spans="1:1" ht="15.75" customHeight="1" x14ac:dyDescent="0.3">
      <c r="A247" s="1" t="str">
        <f ca="1">IFERROR(__xludf.DUMMYFUNCTION("ARRAYFORMULA(GOOGLETRANSLATE(A:A, ""auto"", ""fa""))
"),"&lt;font color=""#FFFF00""&gt;(صدای هیس ناگینی)&lt;/font&gt;")</f>
        <v>&lt;font color="#FFFF00"&gt;(صدای هیس ناگینی)&lt;/font&gt;</v>
      </c>
    </row>
    <row r="248" spans="1:1" ht="15.75" customHeight="1" x14ac:dyDescent="0.3">
      <c r="A248" s="1" t="str">
        <f ca="1">IFERROR(__xludf.DUMMYFUNCTION("ARRAYFORMULA(GOOGLETRANSLATE(A:A, ""auto"", ""fa""))
"),"&lt;font color=""#FFFF00""&gt;(صدای جیغ آژیر)&lt;/font&gt;")</f>
        <v>&lt;font color="#FFFF00"&gt;(صدای جیغ آژیر)&lt;/font&gt;</v>
      </c>
    </row>
    <row r="249" spans="1:1" ht="15.75" customHeight="1" x14ac:dyDescent="0.3">
      <c r="A249" s="1" t="str">
        <f ca="1">IFERROR(__xludf.DUMMYFUNCTION("ARRAYFORMULA(GOOGLETRANSLATE(A:A, ""auto"", ""fa""))
"),"&lt;font color=""#FFFF00""&gt;(صدای فریاد مردان در همان نزدیکی)&lt;/font&gt;")</f>
        <v>&lt;font color="#FFFF00"&gt;(صدای فریاد مردان در همان نزدیکی)&lt;/font&gt;</v>
      </c>
    </row>
    <row r="250" spans="1:1" ht="15.75" customHeight="1" x14ac:dyDescent="0.3">
      <c r="A250" s="1" t="str">
        <f ca="1">IFERROR(__xludf.DUMMYFUNCTION("ARRAYFORMULA(GOOGLETRANSLATE(A:A, ""auto"", ""fa""))
"),"&lt;font color=""#FF0000""&gt;مرد ۱:&lt;/font&gt; اونا اینجان!
&lt;font color=""#FF0000""&gt;مرد ۲:&lt;/font&gt; همه جا رو بگرد!")</f>
        <v>&lt;font color="#FF0000"&gt;مرد ۱:&lt;/font&gt; اونا اینجان!
&lt;font color="#FF0000"&gt;مرد ۲:&lt;/font&gt; همه جا رو بگرد!</v>
      </c>
    </row>
    <row r="251" spans="1:1" ht="15.75" customHeight="1" x14ac:dyDescent="0.3">
      <c r="A251" s="1" t="str">
        <f ca="1">IFERROR(__xludf.DUMMYFUNCTION("ARRAYFORMULA(GOOGLETRANSLATE(A:A, ""auto"", ""fa""))
"),"&lt;font color=""#FF0000""&gt;مرد اول:&lt;/font&gt; به پایین، کنار اصطبل نگاه کنید! شما دو تا، با من بیایید!")</f>
        <v>&lt;font color="#FF0000"&gt;مرد اول:&lt;/font&gt; به پایین، کنار اصطبل نگاه کنید! شما دو تا، با من بیایید!</v>
      </c>
    </row>
    <row r="252" spans="1:1" ht="15.75" customHeight="1" x14ac:dyDescent="0.3">
      <c r="A252" s="1" t="str">
        <f ca="1">IFERROR(__xludf.DUMMYFUNCTION("ARRAYFORMULA(GOOGLETRANSLATE(A:A, ""auto"", ""fa""))
"),"&lt;font color=""#FF0000""&gt;مرد ۳:&lt;/font&gt; نشونه‌ای هست؟")</f>
        <v>&lt;font color="#FF0000"&gt;مرد ۳:&lt;/font&gt; نشونه‌ای هست؟</v>
      </c>
    </row>
    <row r="253" spans="1:1" ht="15.75" customHeight="1" x14ac:dyDescent="0.3">
      <c r="A253" s="1" t="str">
        <f ca="1">IFERROR(__xludf.DUMMYFUNCTION("ARRAYFORMULA(GOOGLETRANSLATE(A:A, ""auto"", ""fa""))
"),"&lt;font color=""#FFFF00""&gt;(صدای جیغ آژیر)&lt;/font&gt;")</f>
        <v>&lt;font color="#FFFF00"&gt;(صدای جیغ آژیر)&lt;/font&gt;</v>
      </c>
    </row>
    <row r="254" spans="1:1" ht="15.75" customHeight="1" x14ac:dyDescent="0.3">
      <c r="A254" s="1" t="str">
        <f ca="1">IFERROR(__xludf.DUMMYFUNCTION("ARRAYFORMULA(GOOGLETRANSLATE(A:A, ""auto"", ""fa""))
"),"&lt;font color=""#FF0000""&gt;مرد چهارم:&lt;/font&gt; پاتر!")</f>
        <v>&lt;font color="#FF0000"&gt;مرد چهارم:&lt;/font&gt; پاتر!</v>
      </c>
    </row>
    <row r="255" spans="1:1" ht="15.75" customHeight="1" x14ac:dyDescent="0.3">
      <c r="A255" s="1" t="str">
        <f ca="1">IFERROR(__xludf.DUMMYFUNCTION("ARRAYFORMULA(GOOGLETRANSLATE(A:A, ""auto"", ""fa""))
"),"&lt;font color=""#FF0000""&gt;پیرمرد:&lt;/font&gt; اینجا، پاتر.")</f>
        <v>&lt;font color="#FF0000"&gt;پیرمرد:&lt;/font&gt; اینجا، پاتر.</v>
      </c>
    </row>
    <row r="256" spans="1:1" ht="15.75" customHeight="1" x14ac:dyDescent="0.3">
      <c r="A256" s="1" t="str">
        <f ca="1">IFERROR(__xludf.DUMMYFUNCTION("ARRAYFORMULA(GOOGLETRANSLATE(A:A, ""auto"", ""fa""))
"),"یه نگاهی بهش انداختی؟")</f>
        <v>یه نگاهی بهش انداختی؟</v>
      </c>
    </row>
    <row r="257" spans="1:1" ht="15.75" customHeight="1" x14ac:dyDescent="0.3">
      <c r="A257" s="1" t="str">
        <f ca="1">IFERROR(__xludf.DUMMYFUNCTION("ARRAYFORMULA(GOOGLETRANSLATE(A:A, ""auto"", ""fa""))
"),"برای یه لحظه فکر کردم... هرمیون: می‌دونم. دامبلدور.")</f>
        <v>برای یه لحظه فکر کردم... هرمیون: می‌دونم. دامبلدور.</v>
      </c>
    </row>
    <row r="258" spans="1:1" ht="15.75" customHeight="1" x14ac:dyDescent="0.3">
      <c r="A258" s="1" t="str">
        <f ca="1">IFERROR(__xludf.DUMMYFUNCTION("ARRAYFORMULA(GOOGLETRANSLATE(A:A, ""auto"", ""fa""))
"),"&lt;font color=""#FFFF00""&gt;(مردهایی در همان نزدیکی پچ پچ می‌کنند)&lt;/font&gt;")</f>
        <v>&lt;font color="#FFFF00"&gt;(مردهایی در همان نزدیکی پچ پچ می‌کنند)&lt;/font&gt;</v>
      </c>
    </row>
    <row r="259" spans="1:1" ht="15.75" customHeight="1" x14ac:dyDescent="0.3">
      <c r="A259" s="1" t="str">
        <f ca="1">IFERROR(__xludf.DUMMYFUNCTION("ARRAYFORMULA(GOOGLETRANSLATE(A:A, ""auto"", ""fa""))
"),"هری؟")</f>
        <v>هری؟</v>
      </c>
    </row>
    <row r="260" spans="1:1" ht="15.75" customHeight="1" x14ac:dyDescent="0.3">
      <c r="A260" s="1" t="str">
        <f ca="1">IFERROR(__xludf.DUMMYFUNCTION("ARRAYFORMULA(GOOGLETRANSLATE(A:A, ""auto"", ""fa""))
"),"من می‌توانم تو را در این ببینم.")</f>
        <v>من می‌توانم تو را در این ببینم.</v>
      </c>
    </row>
    <row r="261" spans="1:1" ht="15.75" customHeight="1" x14ac:dyDescent="0.3">
      <c r="A261" s="1" t="str">
        <f ca="1">IFERROR(__xludf.DUMMYFUNCTION("ARRAYFORMULA(GOOGLETRANSLATE(A:A, ""auto"", ""fa""))
"),"&lt;font color=""#FFFF00""&gt;(در باز می‌شود)&lt;/font&gt;")</f>
        <v>&lt;font color="#FFFF00"&gt;(در باز می‌شود)&lt;/font&gt;</v>
      </c>
    </row>
    <row r="262" spans="1:1" ht="15.75" customHeight="1" x14ac:dyDescent="0.3">
      <c r="A262" s="1" t="str">
        <f ca="1">IFERROR(__xludf.DUMMYFUNCTION("ARRAYFORMULA(GOOGLETRANSLATE(A:A, ""auto"", ""fa""))
"),"احمق‌های لعنتی. با چی اومدین اینجا؟")</f>
        <v>احمق‌های لعنتی. با چی اومدین اینجا؟</v>
      </c>
    </row>
    <row r="263" spans="1:1" ht="15.75" customHeight="1" x14ac:dyDescent="0.3">
      <c r="A263" s="1" t="str">
        <f ca="1">IFERROR(__xludf.DUMMYFUNCTION("ARRAYFORMULA(GOOGLETRANSLATE(A:A, ""auto"", ""fa""))
"),"هیچ ایده‌ای داری که چقدر خطرناکه؟")</f>
        <v>هیچ ایده‌ای داری که چقدر خطرناکه؟</v>
      </c>
    </row>
    <row r="264" spans="1:1" ht="15.75" customHeight="1" x14ac:dyDescent="0.3">
      <c r="A264" s="1" t="str">
        <f ca="1">IFERROR(__xludf.DUMMYFUNCTION("ARRAYFORMULA(GOOGLETRANSLATE(A:A, ""auto"", ""fa""))
"),"تو آبرفورث هستی، برادر دامبلدور.")</f>
        <v>تو آبرفورث هستی، برادر دامبلدور.</v>
      </c>
    </row>
    <row r="265" spans="1:1" ht="15.75" customHeight="1" x14ac:dyDescent="0.3">
      <c r="A265" s="1" t="str">
        <f ca="1">IFERROR(__xludf.DUMMYFUNCTION("ARRAYFORMULA(GOOGLETRANSLATE(A:A, ""auto"", ""fa""))
"),"این تویی که من اینجا می‌بینم.")</f>
        <v>این تویی که من اینجا می‌بینم.</v>
      </c>
    </row>
    <row r="266" spans="1:1" ht="15.75" customHeight="1" x14ac:dyDescent="0.3">
      <c r="A266" s="1" t="str">
        <f ca="1">IFERROR(__xludf.DUMMYFUNCTION("ARRAYFORMULA(GOOGLETRANSLATE(A:A, ""auto"", ""fa""))
"),"تو کسی بودی که دابی رو فرستادی.")</f>
        <v>تو کسی بودی که دابی رو فرستادی.</v>
      </c>
    </row>
    <row r="267" spans="1:1" ht="15.75" customHeight="1" x14ac:dyDescent="0.3">
      <c r="A267" s="1" t="str">
        <f ca="1">IFERROR(__xludf.DUMMYFUNCTION("ARRAYFORMULA(GOOGLETRANSLATE(A:A, ""auto"", ""fa""))
"),"او را کجا گذاشته‌ای؟")</f>
        <v>او را کجا گذاشته‌ای؟</v>
      </c>
    </row>
    <row r="268" spans="1:1" ht="15.75" customHeight="1" x14ac:dyDescent="0.3">
      <c r="A268" s="1" t="str">
        <f ca="1">IFERROR(__xludf.DUMMYFUNCTION("ARRAYFORMULA(GOOGLETRANSLATE(A:A, ""auto"", ""fa""))
"),"او مرده است.")</f>
        <v>او مرده است.</v>
      </c>
    </row>
    <row r="269" spans="1:1" ht="15.75" customHeight="1" x14ac:dyDescent="0.3">
      <c r="A269" s="1" t="str">
        <f ca="1">IFERROR(__xludf.DUMMYFUNCTION("ARRAYFORMULA(GOOGLETRANSLATE(A:A, ""auto"", ""fa""))
"),"متاسفم که اینو می‌شنوم. من از اون جن خوشم اومد.")</f>
        <v>متاسفم که اینو می‌شنوم. من از اون جن خوشم اومد.</v>
      </c>
    </row>
    <row r="270" spans="1:1" ht="15.75" customHeight="1" x14ac:dyDescent="0.3">
      <c r="A270" s="1" t="str">
        <f ca="1">IFERROR(__xludf.DUMMYFUNCTION("ARRAYFORMULA(GOOGLETRANSLATE(A:A, ""auto"", ""fa""))
"),"چه کسی آن را به تو داد؟ آینه؟")</f>
        <v>چه کسی آن را به تو داد؟ آینه؟</v>
      </c>
    </row>
    <row r="271" spans="1:1" ht="15.75" customHeight="1" x14ac:dyDescent="0.3">
      <c r="A271" s="1" t="str">
        <f ca="1">IFERROR(__xludf.DUMMYFUNCTION("ARRAYFORMULA(GOOGLETRANSLATE(A:A, ""auto"", ""fa""))
"),"ماندانگاس فلچر، حدود یک سال پیش.")</f>
        <v>ماندانگاس فلچر، حدود یک سال پیش.</v>
      </c>
    </row>
    <row r="272" spans="1:1" ht="15.75" customHeight="1" x14ac:dyDescent="0.3">
      <c r="A272" s="1" t="str">
        <f ca="1">IFERROR(__xludf.DUMMYFUNCTION("ARRAYFORMULA(GOOGLETRANSLATE(A:A, ""auto"", ""fa""))
"),"کود هیچ حقی نداشت. متعلق به...
&lt;font color=""#FF0000""&gt;ابرفورث:&lt;/font&gt; سیریوس.")</f>
        <v>کود هیچ حقی نداشت. متعلق به...
&lt;font color="#FF0000"&gt;ابرفورث:&lt;/font&gt; سیریوس.</v>
      </c>
    </row>
    <row r="273" spans="1:1" ht="15.75" customHeight="1" x14ac:dyDescent="0.3">
      <c r="A273" s="1" t="str">
        <f ca="1">IFERROR(__xludf.DUMMYFUNCTION("ARRAYFORMULA(GOOGLETRANSLATE(A:A, ""auto"", ""fa""))
"),"آلبوس بهم گفت.")</f>
        <v>آلبوس بهم گفت.</v>
      </c>
    </row>
    <row r="274" spans="1:1" ht="15.75" customHeight="1" x14ac:dyDescent="0.3">
      <c r="A274" s="1" t="str">
        <f ca="1">IFERROR(__xludf.DUMMYFUNCTION("ARRAYFORMULA(GOOGLETRANSLATE(A:A, ""auto"", ""fa""))
"),"او همچنین به من گفت اگر بفهمی من آن را دارم، احتمالاً هک خواهی شد...")</f>
        <v>او همچنین به من گفت اگر بفهمی من آن را دارم، احتمالاً هک خواهی شد...</v>
      </c>
    </row>
    <row r="275" spans="1:1" ht="15.75" customHeight="1" x14ac:dyDescent="0.3">
      <c r="A275" s="1" t="str">
        <f ca="1">IFERROR(__xludf.DUMMYFUNCTION("ARRAYFORMULA(GOOGLETRANSLATE(A:A, ""auto"", ""fa""))
"),"... اما از خودت بپرس، اگر من نبودم، کجا بودی؟")</f>
        <v>... اما از خودت بپرس، اگر من نبودم، کجا بودی؟</v>
      </c>
    </row>
    <row r="276" spans="1:1" ht="15.75" customHeight="1" x14ac:dyDescent="0.3">
      <c r="A276" s="1" t="str">
        <f ca="1">IFERROR(__xludf.DUMMYFUNCTION("ARRAYFORMULA(GOOGLETRANSLATE(A:A, ""auto"", ""fa""))
"),"از بقیه زیاد می‌شنوی؟ از فرقه؟")</f>
        <v>از بقیه زیاد می‌شنوی؟ از فرقه؟</v>
      </c>
    </row>
    <row r="277" spans="1:1" ht="15.75" customHeight="1" x14ac:dyDescent="0.3">
      <c r="A277" s="1" t="str">
        <f ca="1">IFERROR(__xludf.DUMMYFUNCTION("ARRAYFORMULA(GOOGLETRANSLATE(A:A, ""auto"", ""fa""))
"),"سفارش تمام شد.")</f>
        <v>سفارش تمام شد.</v>
      </c>
    </row>
    <row r="278" spans="1:1" ht="15.75" customHeight="1" x14ac:dyDescent="0.3">
      <c r="A278" s="1" t="str">
        <f ca="1">IFERROR(__xludf.DUMMYFUNCTION("ARRAYFORMULA(GOOGLETRANSLATE(A:A, ""auto"", ""fa""))
"),"می‌دونی کی برنده شده.")</f>
        <v>می‌دونی کی برنده شده.</v>
      </c>
    </row>
    <row r="279" spans="1:1" ht="15.75" customHeight="1" x14ac:dyDescent="0.3">
      <c r="A279" s="1" t="str">
        <f ca="1">IFERROR(__xludf.DUMMYFUNCTION("ARRAYFORMULA(GOOGLETRANSLATE(A:A, ""auto"", ""fa""))
"),"هر کسی که غیر از این بگوید، خودش را گول می‌زند.")</f>
        <v>هر کسی که غیر از این بگوید، خودش را گول می‌زند.</v>
      </c>
    </row>
    <row r="280" spans="1:1" ht="15.75" customHeight="1" x14ac:dyDescent="0.3">
      <c r="A280" s="1" t="str">
        <f ca="1">IFERROR(__xludf.DUMMYFUNCTION("ARRAYFORMULA(GOOGLETRANSLATE(A:A, ""auto"", ""fa""))
"),"ما باید امشب وارد هاگوارتز شویم.")</f>
        <v>ما باید امشب وارد هاگوارتز شویم.</v>
      </c>
    </row>
    <row r="281" spans="1:1" ht="15.75" customHeight="1" x14ac:dyDescent="0.3">
      <c r="A281" s="1" t="str">
        <f ca="1">IFERROR(__xludf.DUMMYFUNCTION("ARRAYFORMULA(GOOGLETRANSLATE(A:A, ""auto"", ""fa""))
"),"دامبلدور به ما وظیفه ای محول کرد.")</f>
        <v>دامبلدور به ما وظیفه ای محول کرد.</v>
      </c>
    </row>
    <row r="282" spans="1:1" ht="15.75" customHeight="1" x14ac:dyDescent="0.3">
      <c r="A282" s="1" t="str">
        <f ca="1">IFERROR(__xludf.DUMMYFUNCTION("ARRAYFORMULA(GOOGLETRANSLATE(A:A, ""auto"", ""fa""))
"),"آیا او الان؟")</f>
        <v>آیا او الان؟</v>
      </c>
    </row>
    <row r="283" spans="1:1" ht="15.75" customHeight="1" x14ac:dyDescent="0.3">
      <c r="A283" s="1" t="str">
        <f ca="1">IFERROR(__xludf.DUMMYFUNCTION("ARRAYFORMULA(GOOGLETRANSLATE(A:A, ""auto"", ""fa""))
"),"کار خوبی بود؟ آسان بود؟")</f>
        <v>کار خوبی بود؟ آسان بود؟</v>
      </c>
    </row>
    <row r="284" spans="1:1" ht="15.75" customHeight="1" x14ac:dyDescent="0.3">
      <c r="A284" s="1" t="str">
        <f ca="1">IFERROR(__xludf.DUMMYFUNCTION("ARRAYFORMULA(GOOGLETRANSLATE(A:A, ""auto"", ""fa""))
"),"ما داشتیم هورکراکس‌ها رو شکار می‌کردیم.")</f>
        <v>ما داشتیم هورکراکس‌ها رو شکار می‌کردیم.</v>
      </c>
    </row>
    <row r="285" spans="1:1" ht="15.75" customHeight="1" x14ac:dyDescent="0.3">
      <c r="A285" s="1" t="str">
        <f ca="1">IFERROR(__xludf.DUMMYFUNCTION("ARRAYFORMULA(GOOGLETRANSLATE(A:A, ""auto"", ""fa""))
"),"فکر می‌کنیم آخرین نفر داخل قلعه است، اما برای ورود به آن به کمک نیاز داریم.")</f>
        <v>فکر می‌کنیم آخرین نفر داخل قلعه است، اما برای ورود به آن به کمک نیاز داریم.</v>
      </c>
    </row>
    <row r="286" spans="1:1" ht="15.75" customHeight="1" x14ac:dyDescent="0.3">
      <c r="A286" s="1" t="str">
        <f ca="1">IFERROR(__xludf.DUMMYFUNCTION("ARRAYFORMULA(GOOGLETRANSLATE(A:A, ""auto"", ""fa""))
"),"این شغلی نیست که برادرم به تو داده باشد. این یک ماموریت انتحاری است.")</f>
        <v>این شغلی نیست که برادرم به تو داده باشد. این یک ماموریت انتحاری است.</v>
      </c>
    </row>
    <row r="287" spans="1:1" ht="15.75" customHeight="1" x14ac:dyDescent="0.3">
      <c r="A287" s="1" t="str">
        <f ca="1">IFERROR(__xludf.DUMMYFUNCTION("ARRAYFORMULA(GOOGLETRANSLATE(A:A, ""auto"", ""fa""))
"),"یه لطفی در حق خودت بکن پسر، برو خونه. یه کم بیشتر زندگی کن.")</f>
        <v>یه لطفی در حق خودت بکن پسر، برو خونه. یه کم بیشتر زندگی کن.</v>
      </c>
    </row>
    <row r="288" spans="1:1" ht="15.75" customHeight="1" x14ac:dyDescent="0.3">
      <c r="A288" s="1" t="str">
        <f ca="1">IFERROR(__xludf.DUMMYFUNCTION("ARRAYFORMULA(GOOGLETRANSLATE(A:A, ""auto"", ""fa""))
"),"دامبلدور به من اعتماد کرد که این موضوع را حل کنم. چی باعث میشه فکر کنی میتونی بهش اعتماد کنی؟")</f>
        <v>دامبلدور به من اعتماد کرد که این موضوع را حل کنم. چی باعث میشه فکر کنی میتونی بهش اعتماد کنی؟</v>
      </c>
    </row>
    <row r="289" spans="1:1" ht="15.75" customHeight="1" x14ac:dyDescent="0.3">
      <c r="A289" s="1" t="str">
        <f ca="1">IFERROR(__xludf.DUMMYFUNCTION("ARRAYFORMULA(GOOGLETRANSLATE(A:A, ""auto"", ""fa""))
"),"فکر می‌کنی می‌تونی هرچی برادرم بهت گفت رو باور کنی؟")</f>
        <v>فکر می‌کنی می‌تونی هرچی برادرم بهت گفت رو باور کنی؟</v>
      </c>
    </row>
    <row r="290" spans="1:1" ht="15.75" customHeight="1" x14ac:dyDescent="0.3">
      <c r="A290" s="1" t="str">
        <f ca="1">IFERROR(__xludf.DUMMYFUNCTION("ARRAYFORMULA(GOOGLETRANSLATE(A:A, ""auto"", ""fa""))
"),"در تمام مدتی که او را می‌شناختی، آیا هرگز اسم مرا به زبان آورد؟")</f>
        <v>در تمام مدتی که او را می‌شناختی، آیا هرگز اسم مرا به زبان آورد؟</v>
      </c>
    </row>
    <row r="291" spans="1:1" ht="15.75" customHeight="1" x14ac:dyDescent="0.3">
      <c r="A291" s="1" t="str">
        <f ca="1">IFERROR(__xludf.DUMMYFUNCTION("ARRAYFORMULA(GOOGLETRANSLATE(A:A, ""auto"", ""fa""))
"),"آیا او تا به حال از او نامی برده بود؟")</f>
        <v>آیا او تا به حال از او نامی برده بود؟</v>
      </c>
    </row>
    <row r="292" spans="1:1" ht="15.75" customHeight="1" x14ac:dyDescent="0.3">
      <c r="A292" s="1" t="str">
        <f ca="1">IFERROR(__xludf.DUMMYFUNCTION("ARRAYFORMULA(GOOGLETRANSLATE(A:A, ""auto"", ""fa""))
"),"چرا باید...؟
رازها را نگه دارد؟ تو به من بگو.")</f>
        <v>چرا باید...؟
رازها را نگه دارد؟ تو به من بگو.</v>
      </c>
    </row>
    <row r="293" spans="1:1" ht="15.75" customHeight="1" x14ac:dyDescent="0.3">
      <c r="A293" s="1" t="str">
        <f ca="1">IFERROR(__xludf.DUMMYFUNCTION("ARRAYFORMULA(GOOGLETRANSLATE(A:A, ""auto"", ""fa""))
"),"من به او اعتماد کردم. این جواب یک پسر است.")</f>
        <v>من به او اعتماد کردم. این جواب یک پسر است.</v>
      </c>
    </row>
    <row r="294" spans="1:1" ht="15.75" customHeight="1" x14ac:dyDescent="0.3">
      <c r="A294" s="1" t="str">
        <f ca="1">IFERROR(__xludf.DUMMYFUNCTION("ARRAYFORMULA(GOOGLETRANSLATE(A:A, ""auto"", ""fa""))
"),"پسری که به دستور یک مرد دنبال هورکراکس می‌رود...")</f>
        <v>پسری که به دستور یک مرد دنبال هورکراکس می‌رود...</v>
      </c>
    </row>
    <row r="295" spans="1:1" ht="15.75" customHeight="1" x14ac:dyDescent="0.3">
      <c r="A295" s="1" t="str">
        <f ca="1">IFERROR(__xludf.DUMMYFUNCTION("ARRAYFORMULA(GOOGLETRANSLATE(A:A, ""auto"", ""fa""))
"),"...که حتی بهش نگفت از کجا شروع کنه. داری دروغ میگی!")</f>
        <v>...که حتی بهش نگفت از کجا شروع کنه. داری دروغ میگی!</v>
      </c>
    </row>
    <row r="296" spans="1:1" ht="15.75" customHeight="1" x14ac:dyDescent="0.3">
      <c r="A296" s="1" t="str">
        <f ca="1">IFERROR(__xludf.DUMMYFUNCTION("ARRAYFORMULA(GOOGLETRANSLATE(A:A, ""auto"", ""fa""))
"),"نه فقط برای من که مهم نیست، برای خودت هم همینطور.")</f>
        <v>نه فقط برای من که مهم نیست، برای خودت هم همینطور.</v>
      </c>
    </row>
    <row r="297" spans="1:1" ht="15.75" customHeight="1" x14ac:dyDescent="0.3">
      <c r="A297" s="1" t="str">
        <f ca="1">IFERROR(__xludf.DUMMYFUNCTION("ARRAYFORMULA(GOOGLETRANSLATE(A:A, ""auto"", ""fa""))
"),"این کاریه که یه احمق انجام میده.")</f>
        <v>این کاریه که یه احمق انجام میده.</v>
      </c>
    </row>
    <row r="298" spans="1:1" ht="15.75" customHeight="1" x14ac:dyDescent="0.3">
      <c r="A298" s="1" t="str">
        <f ca="1">IFERROR(__xludf.DUMMYFUNCTION("ARRAYFORMULA(GOOGLETRANSLATE(A:A, ""auto"", ""fa""))
"),"به نظر من احمق نیستی، هری پاتر.")</f>
        <v>به نظر من احمق نیستی، هری پاتر.</v>
      </c>
    </row>
    <row r="299" spans="1:1" ht="15.75" customHeight="1" x14ac:dyDescent="0.3">
      <c r="A299" s="1" t="str">
        <f ca="1">IFERROR(__xludf.DUMMYFUNCTION("ARRAYFORMULA(GOOGLETRANSLATE(A:A, ""auto"", ""fa""))
"),"پس دوباره ازت می‌پرسم. حتماً یه دلیلی داره.")</f>
        <v>پس دوباره ازت می‌پرسم. حتماً یه دلیلی داره.</v>
      </c>
    </row>
    <row r="300" spans="1:1" ht="15.75" customHeight="1" x14ac:dyDescent="0.3">
      <c r="A300" s="1" t="str">
        <f ca="1">IFERROR(__xludf.DUMMYFUNCTION("ARRAYFORMULA(GOOGLETRANSLATE(A:A, ""auto"", ""fa""))
"),"من به اتفاقاتی که بین تو و برادرت افتاده علاقه‌ای ندارم.")</f>
        <v>من به اتفاقاتی که بین تو و برادرت افتاده علاقه‌ای ندارم.</v>
      </c>
    </row>
    <row r="301" spans="1:1" ht="15.75" customHeight="1" x14ac:dyDescent="0.3">
      <c r="A301" s="1" t="str">
        <f ca="1">IFERROR(__xludf.DUMMYFUNCTION("ARRAYFORMULA(GOOGLETRANSLATE(A:A, ""auto"", ""fa""))
"),"برام مهم نیست که تسلیم شدی.")</f>
        <v>برام مهم نیست که تسلیم شدی.</v>
      </c>
    </row>
    <row r="302" spans="1:1" ht="15.75" customHeight="1" x14ac:dyDescent="0.3">
      <c r="A302" s="1" t="str">
        <f ca="1">IFERROR(__xludf.DUMMYFUNCTION("ARRAYFORMULA(GOOGLETRANSLATE(A:A, ""auto"", ""fa""))
"),"من به مردی که می‌شناختم اعتماد داشتم.")</f>
        <v>من به مردی که می‌شناختم اعتماد داشتم.</v>
      </c>
    </row>
    <row r="303" spans="1:1" ht="15.75" customHeight="1" x14ac:dyDescent="0.3">
      <c r="A303" s="1" t="str">
        <f ca="1">IFERROR(__xludf.DUMMYFUNCTION("ARRAYFORMULA(GOOGLETRANSLATE(A:A, ""auto"", ""fa""))
"),"و ما باید امشب وارد قلعه شویم.")</f>
        <v>و ما باید امشب وارد قلعه شویم.</v>
      </c>
    </row>
    <row r="304" spans="1:1" ht="15.75" customHeight="1" x14ac:dyDescent="0.3">
      <c r="A304" s="1" t="str">
        <f ca="1">IFERROR(__xludf.DUMMYFUNCTION("ARRAYFORMULA(GOOGLETRANSLATE(A:A, ""auto"", ""fa""))
"),"خودت می‌دانی چه کار باید بکنی.")</f>
        <v>خودت می‌دانی چه کار باید بکنی.</v>
      </c>
    </row>
    <row r="305" spans="1:1" ht="15.75" customHeight="1" x14ac:dyDescent="0.3">
      <c r="A305" s="1" t="str">
        <f ca="1">IFERROR(__xludf.DUMMYFUNCTION("ARRAYFORMULA(GOOGLETRANSLATE(A:A, ""auto"", ""fa""))
"),"&lt;font color=""#FF0000""&gt;هری:&lt;/font&gt; کجا فرستادیش؟")</f>
        <v>&lt;font color="#FF0000"&gt;هری:&lt;/font&gt; کجا فرستادیش؟</v>
      </c>
    </row>
    <row r="306" spans="1:1" ht="15.75" customHeight="1" x14ac:dyDescent="0.3">
      <c r="A306" s="1" t="str">
        <f ca="1">IFERROR(__xludf.DUMMYFUNCTION("ARRAYFORMULA(GOOGLETRANSLATE(A:A, ""auto"", ""fa""))
"),"به زودی خواهی دید.")</f>
        <v>به زودی خواهی دید.</v>
      </c>
    </row>
    <row r="307" spans="1:1" ht="15.75" customHeight="1" x14ac:dyDescent="0.3">
      <c r="A307" s="1" t="str">
        <f ca="1">IFERROR(__xludf.DUMMYFUNCTION("ARRAYFORMULA(GOOGLETRANSLATE(A:A, ""auto"", ""fa""))
"),"اون خواهرته، آریانا، مگه نه؟")</f>
        <v>اون خواهرته، آریانا، مگه نه؟</v>
      </c>
    </row>
    <row r="308" spans="1:1" ht="15.75" customHeight="1" x14ac:dyDescent="0.3">
      <c r="A308" s="1" t="str">
        <f ca="1">IFERROR(__xludf.DUMMYFUNCTION("ARRAYFORMULA(GOOGLETRANSLATE(A:A, ""auto"", ""fa""))
"),"او خیلی جوان مُرد، مگر نه؟")</f>
        <v>او خیلی جوان مُرد، مگر نه؟</v>
      </c>
    </row>
    <row r="309" spans="1:1" ht="15.75" customHeight="1" x14ac:dyDescent="0.3">
      <c r="A309" s="1" t="str">
        <f ca="1">IFERROR(__xludf.DUMMYFUNCTION("ARRAYFORMULA(GOOGLETRANSLATE(A:A, ""auto"", ""fa""))
"),"برادرم خیلی چیزها را فدا کرد، آقای پاتر...")</f>
        <v>برادرم خیلی چیزها را فدا کرد، آقای پاتر...</v>
      </c>
    </row>
    <row r="310" spans="1:1" ht="15.75" customHeight="1" x14ac:dyDescent="0.3">
      <c r="A310" s="1" t="str">
        <f ca="1">IFERROR(__xludf.DUMMYFUNCTION("ARRAYFORMULA(GOOGLETRANSLATE(A:A, ""auto"", ""fa""))
"),"...در سفرش برای یافتن قدرت...")</f>
        <v>...در سفرش برای یافتن قدرت...</v>
      </c>
    </row>
    <row r="311" spans="1:1" ht="15.75" customHeight="1" x14ac:dyDescent="0.3">
      <c r="A311" s="1" t="str">
        <f ca="1">IFERROR(__xludf.DUMMYFUNCTION("ARRAYFORMULA(GOOGLETRANSLATE(A:A, ""auto"", ""fa""))
"),"...از جمله آریانا.")</f>
        <v>...از جمله آریانا.</v>
      </c>
    </row>
    <row r="312" spans="1:1" ht="15.75" customHeight="1" x14ac:dyDescent="0.3">
      <c r="A312" s="1" t="str">
        <f ca="1">IFERROR(__xludf.DUMMYFUNCTION("ARRAYFORMULA(GOOGLETRANSLATE(A:A, ""auto"", ""fa""))
"),"و او به او ارادت داشت.")</f>
        <v>و او به او ارادت داشت.</v>
      </c>
    </row>
    <row r="313" spans="1:1" ht="15.75" customHeight="1" x14ac:dyDescent="0.3">
      <c r="A313" s="1" t="str">
        <f ca="1">IFERROR(__xludf.DUMMYFUNCTION("ARRAYFORMULA(GOOGLETRANSLATE(A:A, ""auto"", ""fa""))
"),"همه چیز را به او داد...")</f>
        <v>همه چیز را به او داد...</v>
      </c>
    </row>
    <row r="314" spans="1:1" ht="15.75" customHeight="1" x14ac:dyDescent="0.3">
      <c r="A314" s="1" t="str">
        <f ca="1">IFERROR(__xludf.DUMMYFUNCTION("ARRAYFORMULA(GOOGLETRANSLATE(A:A, ""auto"", ""fa""))
"),"... اما زمان.")</f>
        <v>... اما زمان.</v>
      </c>
    </row>
    <row r="315" spans="1:1" ht="15.75" customHeight="1" x14ac:dyDescent="0.3">
      <c r="A315" s="1" t="str">
        <f ca="1">IFERROR(__xludf.DUMMYFUNCTION("ARRAYFORMULA(GOOGLETRANSLATE(A:A, ""auto"", ""fa""))
"),"&lt;font color=""#FF0000""&gt;هرمیون:&lt;/font&gt; متشکرم، آقای دامبلدور.")</f>
        <v>&lt;font color="#FF0000"&gt;هرمیون:&lt;/font&gt; متشکرم، آقای دامبلدور.</v>
      </c>
    </row>
    <row r="316" spans="1:1" ht="15.75" customHeight="1" x14ac:dyDescent="0.3">
      <c r="A316" s="1" t="str">
        <f ca="1">IFERROR(__xludf.DUMMYFUNCTION("ARRAYFORMULA(GOOGLETRANSLATE(A:A, ""auto"", ""fa""))
"),"&lt;font color=""#FFFF00""&gt;(در بسته می‌شود)&lt;/font&gt;")</f>
        <v>&lt;font color="#FFFF00"&gt;(در بسته می‌شود)&lt;/font&gt;</v>
      </c>
    </row>
    <row r="317" spans="1:1" ht="15.75" customHeight="1" x14ac:dyDescent="0.3">
      <c r="A317" s="1" t="str">
        <f ca="1">IFERROR(__xludf.DUMMYFUNCTION("ARRAYFORMULA(GOOGLETRANSLATE(A:A, ""auto"", ""fa""))
"),"او دو بار جان ما را نجات داد.")</f>
        <v>او دو بار جان ما را نجات داد.</v>
      </c>
    </row>
    <row r="318" spans="1:1" ht="15.75" customHeight="1" x14ac:dyDescent="0.3">
      <c r="A318" s="1" t="str">
        <f ca="1">IFERROR(__xludf.DUMMYFUNCTION("ARRAYFORMULA(GOOGLETRANSLATE(A:A, ""auto"", ""fa""))
"),"از توی اون آینه ما رو زیر نظر داشت.")</f>
        <v>از توی اون آینه ما رو زیر نظر داشت.</v>
      </c>
    </row>
    <row r="319" spans="1:1" ht="15.75" customHeight="1" x14ac:dyDescent="0.3">
      <c r="A319" s="1" t="str">
        <f ca="1">IFERROR(__xludf.DUMMYFUNCTION("ARRAYFORMULA(GOOGLETRANSLATE(A:A, ""auto"", ""fa""))
"),"&lt;font color=""#FFFF00""&gt;(زمزمه)&lt;/font&gt; به نظر نمی‌رسد کسی باشد که تسلیم شده باشد.")</f>
        <v>&lt;font color="#FFFF00"&gt;(زمزمه)&lt;/font&gt; به نظر نمی‌رسد کسی باشد که تسلیم شده باشد.</v>
      </c>
    </row>
    <row r="320" spans="1:1" ht="15.75" customHeight="1" x14ac:dyDescent="0.3">
      <c r="A320" s="1" t="str">
        <f ca="1">IFERROR(__xludf.DUMMYFUNCTION("ARRAYFORMULA(GOOGLETRANSLATE(A:A, ""auto"", ""fa""))
"),"داره برمی‌گرده.")</f>
        <v>داره برمی‌گرده.</v>
      </c>
    </row>
    <row r="321" spans="1:1" ht="15.75" customHeight="1" x14ac:dyDescent="0.3">
      <c r="A321" s="1" t="str">
        <f ca="1">IFERROR(__xludf.DUMMYFUNCTION("ARRAYFORMULA(GOOGLETRANSLATE(A:A, ""auto"", ""fa""))
"),"&lt;font color=""#FF0000""&gt;رون:&lt;/font&gt; اون کیه باهاش؟")</f>
        <v>&lt;font color="#FF0000"&gt;رون:&lt;/font&gt; اون کیه باهاش؟</v>
      </c>
    </row>
    <row r="322" spans="1:1" ht="15.75" customHeight="1" x14ac:dyDescent="0.3">
      <c r="A322" s="1" t="str">
        <f ca="1">IFERROR(__xludf.DUMMYFUNCTION("ARRAYFORMULA(GOOGLETRANSLATE(A:A, ""auto"", ""fa""))
"),"نویل")</f>
        <v>نویل</v>
      </c>
    </row>
    <row r="323" spans="1:1" ht="15.75" customHeight="1" x14ac:dyDescent="0.3">
      <c r="A323" s="1" t="str">
        <f ca="1">IFERROR(__xludf.DUMMYFUNCTION("ARRAYFORMULA(GOOGLETRANSLATE(A:A, ""auto"", ""fa""))
"),"اوه، به نظر... 
فکر کنم خیلی باحالی.")</f>
        <v>اوه، به نظر... 
فکر کنم خیلی باحالی.</v>
      </c>
    </row>
    <row r="324" spans="1:1" ht="15.75" customHeight="1" x14ac:dyDescent="0.3">
      <c r="A324" s="1" t="str">
        <f ca="1">IFERROR(__xludf.DUMMYFUNCTION("ARRAYFORMULA(GOOGLETRANSLATE(A:A, ""auto"", ""fa""))
"),"این که چیزی نیست. سیموس بدتره.")</f>
        <v>این که چیزی نیست. سیموس بدتره.</v>
      </c>
    </row>
    <row r="325" spans="1:1" ht="15.75" customHeight="1" x14ac:dyDescent="0.3">
      <c r="A325" s="1" t="str">
        <f ca="1">IFERROR(__xludf.DUMMYFUNCTION("ARRAYFORMULA(GOOGLETRANSLATE(A:A, ""auto"", ""fa""))
"),"هی، اَب، چند تا دیگه هم قراره برسه.")</f>
        <v>هی، اَب، چند تا دیگه هم قراره برسه.</v>
      </c>
    </row>
    <row r="326" spans="1:1" ht="15.75" customHeight="1" x14ac:dyDescent="0.3">
      <c r="A326" s="1" t="str">
        <f ca="1">IFERROR(__xludf.DUMMYFUNCTION("ARRAYFORMULA(GOOGLETRANSLATE(A:A, ""auto"", ""fa""))
"),"&lt;font color=""#FF0000""&gt;رون:&lt;/font&gt; اینو روی نقشه‌ی غارتگر یادت نره.")</f>
        <v>&lt;font color="#FF0000"&gt;رون:&lt;/font&gt; اینو روی نقشه‌ی غارتگر یادت نره.</v>
      </c>
    </row>
    <row r="327" spans="1:1" ht="15.75" customHeight="1" x14ac:dyDescent="0.3">
      <c r="A327" s="1" t="str">
        <f ca="1">IFERROR(__xludf.DUMMYFUNCTION("ARRAYFORMULA(GOOGLETRANSLATE(A:A, ""auto"", ""fa""))
"),"به این دلیل است که تا به حال هرگز وجود نداشته است.")</f>
        <v>به این دلیل است که تا به حال هرگز وجود نداشته است.</v>
      </c>
    </row>
    <row r="328" spans="1:1" ht="15.75" customHeight="1" x14ac:dyDescent="0.3">
      <c r="A328" s="1" t="str">
        <f ca="1">IFERROR(__xludf.DUMMYFUNCTION("ARRAYFORMULA(GOOGLETRANSLATE(A:A, ""auto"", ""fa""))
"),"هفت گذرگاه مخفی قبل از شروع سال مهر و موم شدند.")</f>
        <v>هفت گذرگاه مخفی قبل از شروع سال مهر و موم شدند.</v>
      </c>
    </row>
    <row r="329" spans="1:1" ht="15.75" customHeight="1" x14ac:dyDescent="0.3">
      <c r="A329" s="1" t="str">
        <f ca="1">IFERROR(__xludf.DUMMYFUNCTION("ARRAYFORMULA(GOOGLETRANSLATE(A:A, ""auto"", ""fa""))
"),"الان تنها راه ورود یا خروج همینه.")</f>
        <v>الان تنها راه ورود یا خروج همینه.</v>
      </c>
    </row>
    <row r="330" spans="1:1" ht="15.75" customHeight="1" x14ac:dyDescent="0.3">
      <c r="A330" s="1" t="str">
        <f ca="1">IFERROR(__xludf.DUMMYFUNCTION("ARRAYFORMULA(GOOGLETRANSLATE(A:A, ""auto"", ""fa""))
"),"محوطه پر از مرگ‌خواران و دیوانه‌سازان است.")</f>
        <v>محوطه پر از مرگ‌خواران و دیوانه‌سازان است.</v>
      </c>
    </row>
    <row r="331" spans="1:1" ht="15.75" customHeight="1" x14ac:dyDescent="0.3">
      <c r="A331" s="1" t="str">
        <f ca="1">IFERROR(__xludf.DUMMYFUNCTION("ARRAYFORMULA(GOOGLETRANSLATE(A:A, ""auto"", ""fa""))
"),"&lt;font color=""#FF0000""&gt;هرمیون:&lt;/font&gt; اسنیپ به عنوان مدیر چقدر بد است؟")</f>
        <v>&lt;font color="#FF0000"&gt;هرمیون:&lt;/font&gt; اسنیپ به عنوان مدیر چقدر بد است؟</v>
      </c>
    </row>
    <row r="332" spans="1:1" ht="15.75" customHeight="1" x14ac:dyDescent="0.3">
      <c r="A332" s="1" t="str">
        <f ca="1">IFERROR(__xludf.DUMMYFUNCTION("ARRAYFORMULA(GOOGLETRANSLATE(A:A, ""auto"", ""fa""))
"),"به ندرت او را می‌بینم. این کروها هستند که باید مراقبشان باشی.")</f>
        <v>به ندرت او را می‌بینم. این کروها هستند که باید مراقبشان باشی.</v>
      </c>
    </row>
    <row r="333" spans="1:1" ht="15.75" customHeight="1" x14ac:dyDescent="0.3">
      <c r="A333" s="1" t="str">
        <f ca="1">IFERROR(__xludf.DUMMYFUNCTION("ARRAYFORMULA(GOOGLETRANSLATE(A:A, ""auto"", ""fa""))
"),"کاروها؟")</f>
        <v>کاروها؟</v>
      </c>
    </row>
    <row r="334" spans="1:1" ht="15.75" customHeight="1" x14ac:dyDescent="0.3">
      <c r="A334" s="1" t="str">
        <f ca="1">IFERROR(__xludf.DUMMYFUNCTION("ARRAYFORMULA(GOOGLETRANSLATE(A:A, ""auto"", ""fa""))
"),"آره. خواهر و برادر. مسئول نظم و انضباط.")</f>
        <v>آره. خواهر و برادر. مسئول نظم و انضباط.</v>
      </c>
    </row>
    <row r="335" spans="1:1" ht="15.75" customHeight="1" x14ac:dyDescent="0.3">
      <c r="A335" s="1" t="str">
        <f ca="1">IFERROR(__xludf.DUMMYFUNCTION("ARRAYFORMULA(GOOGLETRANSLATE(A:A, ""auto"", ""fa""))
"),"اونا از تنبیه خوششون میاد، کروها.")</f>
        <v>اونا از تنبیه خوششون میاد، کروها.</v>
      </c>
    </row>
    <row r="336" spans="1:1" ht="15.75" customHeight="1" x14ac:dyDescent="0.3">
      <c r="A336" s="1" t="str">
        <f ca="1">IFERROR(__xludf.DUMMYFUNCTION("ARRAYFORMULA(GOOGLETRANSLATE(A:A, ""auto"", ""fa""))
"),"&lt;font color=""#FF0000""&gt;هرمیون:&lt;/font&gt; اونا این کارو باهات کردن؟ چرا؟")</f>
        <v>&lt;font color="#FF0000"&gt;هرمیون:&lt;/font&gt; اونا این کارو باهات کردن؟ چرا؟</v>
      </c>
    </row>
    <row r="337" spans="1:1" ht="15.75" customHeight="1" x14ac:dyDescent="0.3">
      <c r="A337" s="1" t="str">
        <f ca="1">IFERROR(__xludf.DUMMYFUNCTION("ARRAYFORMULA(GOOGLETRANSLATE(A:A, ""auto"", ""fa""))
"),"&lt;font color=""#FF0000""&gt;نویل:&lt;/font&gt; درس‌های امروز جادوی سیاه ما را به تمرین نفرین کروسیاتوس واداشت.")</f>
        <v>&lt;font color="#FF0000"&gt;نویل:&lt;/font&gt; درس‌های امروز جادوی سیاه ما را به تمرین نفرین کروسیاتوس واداشت.</v>
      </c>
    </row>
    <row r="338" spans="1:1" ht="15.75" customHeight="1" x14ac:dyDescent="0.3">
      <c r="A338" s="1" t="str">
        <f ca="1">IFERROR(__xludf.DUMMYFUNCTION("ARRAYFORMULA(GOOGLETRANSLATE(A:A, ""auto"", ""fa""))
"),"در سال‌های اول.")</f>
        <v>در سال‌های اول.</v>
      </c>
    </row>
    <row r="339" spans="1:1" ht="15.75" customHeight="1" x14ac:dyDescent="0.3">
      <c r="A339" s="1" t="str">
        <f ca="1">IFERROR(__xludf.DUMMYFUNCTION("ARRAYFORMULA(GOOGLETRANSLATE(A:A, ""auto"", ""fa""))
"),"من امتناع کردم.")</f>
        <v>من امتناع کردم.</v>
      </c>
    </row>
    <row r="340" spans="1:1" ht="15.75" customHeight="1" x14ac:dyDescent="0.3">
      <c r="A340" s="1" t="str">
        <f ca="1">IFERROR(__xludf.DUMMYFUNCTION("ARRAYFORMULA(GOOGLETRANSLATE(A:A, ""auto"", ""fa""))
"),"هاگوارتز تغییر کرده است.")</f>
        <v>هاگوارتز تغییر کرده است.</v>
      </c>
    </row>
    <row r="341" spans="1:1" ht="15.75" customHeight="1" x14ac:dyDescent="0.3">
      <c r="A341" s="1" t="str">
        <f ca="1">IFERROR(__xludf.DUMMYFUNCTION("ARRAYFORMULA(GOOGLETRANSLATE(A:A, ""auto"", ""fa""))
"),"بیا یه کم خوش بگذرونیم، باشه؟")</f>
        <v>بیا یه کم خوش بگذرونیم، باشه؟</v>
      </c>
    </row>
    <row r="342" spans="1:1" ht="15.75" customHeight="1" x14ac:dyDescent="0.3">
      <c r="A342" s="1" t="str">
        <f ca="1">IFERROR(__xludf.DUMMYFUNCTION("ARRAYFORMULA(GOOGLETRANSLATE(A:A, ""auto"", ""fa""))
"),"هی، گوش کن، خیلی باحاله. یه سورپرایز برات آوردم.")</f>
        <v>هی، گوش کن، خیلی باحاله. یه سورپرایز برات آوردم.</v>
      </c>
    </row>
    <row r="343" spans="1:1" ht="15.75" customHeight="1" x14ac:dyDescent="0.3">
      <c r="A343" s="1" t="str">
        <f ca="1">IFERROR(__xludf.DUMMYFUNCTION("ARRAYFORMULA(GOOGLETRANSLATE(A:A, ""auto"", ""fa""))
"),"امیدوارم دیگر از آشپزی آبرفورث چیزی نخوانیم. اگر بتوانیم هضمش کنیم، سورپرایز خواهیم شد.")</f>
        <v>امیدوارم دیگر از آشپزی آبرفورث چیزی نخوانیم. اگر بتوانیم هضمش کنیم، سورپرایز خواهیم شد.</v>
      </c>
    </row>
    <row r="344" spans="1:1" ht="15.75" customHeight="1" x14ac:dyDescent="0.3">
      <c r="A344" s="1" t="str">
        <f ca="1">IFERROR(__xludf.DUMMYFUNCTION("ARRAYFORMULA(GOOGLETRANSLATE(A:A, ""auto"", ""fa""))
"),"لعنتی.")</f>
        <v>لعنتی.</v>
      </c>
    </row>
    <row r="345" spans="1:1" ht="15.75" customHeight="1" x14ac:dyDescent="0.3">
      <c r="A345" s="1" t="str">
        <f ca="1">IFERROR(__xludf.DUMMYFUNCTION("ARRAYFORMULA(GOOGLETRANSLATE(A:A, ""auto"", ""fa""))
"),"هری! آره!")</f>
        <v>هری! آره!</v>
      </c>
    </row>
    <row r="346" spans="1:1" ht="15.75" customHeight="1" x14ac:dyDescent="0.3">
      <c r="A346" s="1" t="str">
        <f ca="1">IFERROR(__xludf.DUMMYFUNCTION("ARRAYFORMULA(GOOGLETRANSLATE(A:A, ""auto"", ""fa""))
"),"به ریموس و بقیه خبر بده که هری برگشته.")</f>
        <v>به ریموس و بقیه خبر بده که هری برگشته.</v>
      </c>
    </row>
    <row r="347" spans="1:1" ht="15.75" customHeight="1" x14ac:dyDescent="0.3">
      <c r="A347" s="1" t="str">
        <f ca="1">IFERROR(__xludf.DUMMYFUNCTION("ARRAYFORMULA(GOOGLETRANSLATE(A:A, ""auto"", ""fa""))
"),"باشه، بیا قبل از اینکه خودت بدونی کیه، نکشتیش...")</f>
        <v>باشه، بیا قبل از اینکه خودت بدونی کیه، نکشتیش...</v>
      </c>
    </row>
    <row r="348" spans="1:1" ht="15.75" customHeight="1" x14ac:dyDescent="0.3">
      <c r="A348" s="1" t="str">
        <f ca="1">IFERROR(__xludf.DUMMYFUNCTION("ARRAYFORMULA(GOOGLETRANSLATE(A:A, ""auto"", ""fa""))
"),"ریور، دادستان، زنگ زد. داری کتاب می‌خونی؟")</f>
        <v>ریور، دادستان، زنگ زد. داری کتاب می‌خونی؟</v>
      </c>
    </row>
    <row r="349" spans="1:1" ht="15.75" customHeight="1" x14ac:dyDescent="0.3">
      <c r="A349" s="1" t="str">
        <f ca="1">IFERROR(__xludf.DUMMYFUNCTION("ARRAYFORMULA(GOOGLETRANSLATE(A:A, ""auto"", ""fa""))
"),"ما هوای جدیدی داریم.
&lt;font color=""#FF0000""&gt;گزارش:&lt;/font&gt; رعد و برق زده است.")</f>
        <v>ما هوای جدیدی داریم.
&lt;font color="#FF0000"&gt;گزارش:&lt;/font&gt; رعد و برق زده است.</v>
      </c>
    </row>
    <row r="350" spans="1:1" ht="15.75" customHeight="1" x14ac:dyDescent="0.3">
      <c r="A350" s="1" t="str">
        <f ca="1">IFERROR(__xludf.DUMMYFUNCTION("ARRAYFORMULA(GOOGLETRANSLATE(A:A, ""auto"", ""fa""))
"),"نقشه چیه، هری؟")</f>
        <v>نقشه چیه، هری؟</v>
      </c>
    </row>
    <row r="351" spans="1:1" ht="15.75" customHeight="1" x14ac:dyDescent="0.3">
      <c r="A351" s="1" t="str">
        <f ca="1">IFERROR(__xludf.DUMMYFUNCTION("ARRAYFORMULA(GOOGLETRANSLATE(A:A, ""auto"", ""fa""))
"),"&lt;font color=""#FF0000""&gt;هری:&lt;/font&gt; باشه.")</f>
        <v>&lt;font color="#FF0000"&gt;هری:&lt;/font&gt; باشه.</v>
      </c>
    </row>
    <row r="352" spans="1:1" ht="15.75" customHeight="1" x14ac:dyDescent="0.3">
      <c r="A352" s="1" t="str">
        <f ca="1">IFERROR(__xludf.DUMMYFUNCTION("ARRAYFORMULA(GOOGLETRANSLATE(A:A, ""auto"", ""fa""))
"),"یه چیزی هست که باید پیداش کنیم.")</f>
        <v>یه چیزی هست که باید پیداش کنیم.</v>
      </c>
    </row>
    <row r="353" spans="1:1" ht="15.75" customHeight="1" x14ac:dyDescent="0.3">
      <c r="A353" s="1" t="str">
        <f ca="1">IFERROR(__xludf.DUMMYFUNCTION("ARRAYFORMULA(GOOGLETRANSLATE(A:A, ""auto"", ""fa""))
"),"یه چیزی اینجا توی قلعه پنهان شده. و ممکنه بهمون کمک کنه تا اونی که می‌شناسیم رو شکست بدیم.")</f>
        <v>یه چیزی اینجا توی قلعه پنهان شده. و ممکنه بهمون کمک کنه تا اونی که می‌شناسیم رو شکست بدیم.</v>
      </c>
    </row>
    <row r="354" spans="1:1" ht="15.75" customHeight="1" x14ac:dyDescent="0.3">
      <c r="A354" s="1" t="str">
        <f ca="1">IFERROR(__xludf.DUMMYFUNCTION("ARRAYFORMULA(GOOGLETRANSLATE(A:A, ""auto"", ""fa""))
"),"درسته. چیه؟ (چیه؟)")</f>
        <v>درسته. چیه؟ (چیه؟)</v>
      </c>
    </row>
    <row r="355" spans="1:1" ht="15.75" customHeight="1" x14ac:dyDescent="0.3">
      <c r="A355" s="1" t="str">
        <f ca="1">IFERROR(__xludf.DUMMYFUNCTION("ARRAYFORMULA(GOOGLETRANSLATE(A:A, ""auto"", ""fa""))
"),"ما نمی‌دانیم.")</f>
        <v>ما نمی‌دانیم.</v>
      </c>
    </row>
    <row r="356" spans="1:1" ht="15.75" customHeight="1" x14ac:dyDescent="0.3">
      <c r="A356" s="1" t="str">
        <f ca="1">IFERROR(__xludf.DUMMYFUNCTION("ARRAYFORMULA(GOOGLETRANSLATE(A:A, ""auto"", ""fa""))
"),"&lt;font color=""#FF0000""&gt;نویل:&lt;/font&gt; کجاست؟
&lt;font color=""#FF0000""&gt;هری:&lt;/font&gt; ما هم این را نمی‌دانیم.")</f>
        <v>&lt;font color="#FF0000"&gt;نویل:&lt;/font&gt; کجاست؟
&lt;font color="#FF0000"&gt;هری:&lt;/font&gt; ما هم این را نمی‌دانیم.</v>
      </c>
    </row>
    <row r="357" spans="1:1" ht="15.75" customHeight="1" x14ac:dyDescent="0.3">
      <c r="A357" s="1" t="str">
        <f ca="1">IFERROR(__xludf.DUMMYFUNCTION("ARRAYFORMULA(GOOGLETRANSLATE(A:A, ""auto"", ""fa""))
"),"می‌فهمم که چیز زیادی برای ادامه دادن نیست. این که چیز زیادی برای ادامه دادن نیست.")</f>
        <v>می‌فهمم که چیز زیادی برای ادامه دادن نیست. این که چیز زیادی برای ادامه دادن نیست.</v>
      </c>
    </row>
    <row r="358" spans="1:1" ht="15.75" customHeight="1" x14ac:dyDescent="0.3">
      <c r="A358" s="1" t="str">
        <f ca="1">IFERROR(__xludf.DUMMYFUNCTION("ARRAYFORMULA(GOOGLETRANSLATE(A:A, ""auto"", ""fa""))
"),"فکر کنم یه ربطی به ریونکلاو داره.")</f>
        <v>فکر کنم یه ربطی به ریونکلاو داره.</v>
      </c>
    </row>
    <row r="359" spans="1:1" ht="15.75" customHeight="1" x14ac:dyDescent="0.3">
      <c r="A359" s="1" t="str">
        <f ca="1">IFERROR(__xludf.DUMMYFUNCTION("ARRAYFORMULA(GOOGLETRANSLATE(A:A, ""auto"", ""fa""))
"),"امم، کوچک خواهد بود، به راحتی پنهان می‌شود.")</f>
        <v>امم، کوچک خواهد بود، به راحتی پنهان می‌شود.</v>
      </c>
    </row>
    <row r="360" spans="1:1" ht="15.75" customHeight="1" x14ac:dyDescent="0.3">
      <c r="A360" s="1" t="str">
        <f ca="1">IFERROR(__xludf.DUMMYFUNCTION("ARRAYFORMULA(GOOGLETRANSLATE(A:A, ""auto"", ""fa""))
"),"کسی ایده‌ای داره؟")</f>
        <v>کسی ایده‌ای داره؟</v>
      </c>
    </row>
    <row r="361" spans="1:1" ht="15.75" customHeight="1" x14ac:dyDescent="0.3">
      <c r="A361" s="1" t="str">
        <f ca="1">IFERROR(__xludf.DUMMYFUNCTION("ARRAYFORMULA(GOOGLETRANSLATE(A:A, ""auto"", ""fa""))
"),"خب، این هم نیم‌تاج گمشده‌ی روونا ریونکلاو.")</f>
        <v>خب، این هم نیم‌تاج گمشده‌ی روونا ریونکلاو.</v>
      </c>
    </row>
    <row r="362" spans="1:1" ht="15.75" customHeight="1" x14ac:dyDescent="0.3">
      <c r="A362" s="1" t="str">
        <f ca="1">IFERROR(__xludf.DUMMYFUNCTION("ARRAYFORMULA(GOOGLETRANSLATE(A:A, ""auto"", ""fa""))
"),"اوه، لعنت. شروع کردیم.
&lt;font color=""#FF0000""&gt;لونا:&lt;/font&gt; تاج ریونکلا گم شده؟")</f>
        <v>اوه، لعنت. شروع کردیم.
&lt;font color="#FF0000"&gt;لونا:&lt;/font&gt; تاج ریونکلا گم شده؟</v>
      </c>
    </row>
    <row r="363" spans="1:1" ht="15.75" customHeight="1" x14ac:dyDescent="0.3">
      <c r="A363" s="1" t="str">
        <f ca="1">IFERROR(__xludf.DUMMYFUNCTION("ARRAYFORMULA(GOOGLETRANSLATE(A:A, ""auto"", ""fa""))
"),"کسی اسمشو نشنیده؟ خیلی معروفه.")</f>
        <v>کسی اسمشو نشنیده؟ خیلی معروفه.</v>
      </c>
    </row>
    <row r="364" spans="1:1" ht="15.75" customHeight="1" x14ac:dyDescent="0.3">
      <c r="A364" s="1" t="str">
        <f ca="1">IFERROR(__xludf.DUMMYFUNCTION("ARRAYFORMULA(GOOGLETRANSLATE(A:A, ""auto"", ""fa""))
"),"بله، اما لونا، قرن‌هاست که گم شده.")</f>
        <v>بله، اما لونا، قرن‌هاست که گم شده.</v>
      </c>
    </row>
    <row r="365" spans="1:1" ht="15.75" customHeight="1" x14ac:dyDescent="0.3">
      <c r="A365" s="1" t="str">
        <f ca="1">IFERROR(__xludf.DUMMYFUNCTION("ARRAYFORMULA(GOOGLETRANSLATE(A:A, ""auto"", ""fa""))
"),"امروز حتی یک نفر هم زنده نیست که آن را دیده باشد.")</f>
        <v>امروز حتی یک نفر هم زنده نیست که آن را دیده باشد.</v>
      </c>
    </row>
    <row r="366" spans="1:1" ht="15.75" customHeight="1" x14ac:dyDescent="0.3">
      <c r="A366" s="1" t="str">
        <f ca="1">IFERROR(__xludf.DUMMYFUNCTION("ARRAYFORMULA(GOOGLETRANSLATE(A:A, ""auto"", ""fa""))
"),"ببخشید، کسی می‌تونه به من بگه دیهیم لعنتی چیه؟")</f>
        <v>ببخشید، کسی می‌تونه به من بگه دیهیم لعنتی چیه؟</v>
      </c>
    </row>
    <row r="367" spans="1:1" ht="15.75" customHeight="1" x14ac:dyDescent="0.3">
      <c r="A367" s="1" t="str">
        <f ca="1">IFERROR(__xludf.DUMMYFUNCTION("ARRAYFORMULA(GOOGLETRANSLATE(A:A, ""auto"", ""fa""))
"),"یه جور تاجِ. می‌دونی، مثل یه نیم‌دایره.")</f>
        <v>یه جور تاجِ. می‌دونی، مثل یه نیم‌دایره.</v>
      </c>
    </row>
    <row r="368" spans="1:1" ht="15.75" customHeight="1" x14ac:dyDescent="0.3">
      <c r="A368" s="1" t="str">
        <f ca="1">IFERROR(__xludf.DUMMYFUNCTION("ARRAYFORMULA(GOOGLETRANSLATE(A:A, ""auto"", ""fa""))
"),"&lt;font color=""#FFFF00""&gt;(غرش)&lt;/font&gt;")</f>
        <v>&lt;font color="#FFFF00"&gt;(غرش)&lt;/font&gt;</v>
      </c>
    </row>
    <row r="369" spans="1:1" ht="15.75" customHeight="1" x14ac:dyDescent="0.3">
      <c r="A369" s="1" t="str">
        <f ca="1">IFERROR(__xludf.DUMMYFUNCTION("ARRAYFORMULA(GOOGLETRANSLATE(A:A, ""auto"", ""fa""))
"),"هری.")</f>
        <v>هری.</v>
      </c>
    </row>
    <row r="370" spans="1:1" ht="15.75" customHeight="1" x14ac:dyDescent="0.3">
      <c r="A370" s="1" t="str">
        <f ca="1">IFERROR(__xludf.DUMMYFUNCTION("ARRAYFORMULA(GOOGLETRANSLATE(A:A, ""auto"", ""fa""))
"),"سلام. (سلام.)")</f>
        <v>سلام. (سلام.)</v>
      </c>
    </row>
    <row r="371" spans="1:1" ht="15.75" customHeight="1" x14ac:dyDescent="0.3">
      <c r="A371" s="1" t="str">
        <f ca="1">IFERROR(__xludf.DUMMYFUNCTION("ARRAYFORMULA(GOOGLETRANSLATE(A:A, ""auto"", ""fa""))
"),"شش ماهه که من رو ندیده و انگار من فرانکیِ سال اولی‌ام.")</f>
        <v>شش ماهه که من رو ندیده و انگار من فرانکیِ سال اولی‌ام.</v>
      </c>
    </row>
    <row r="372" spans="1:1" ht="15.75" customHeight="1" x14ac:dyDescent="0.3">
      <c r="A372" s="1" t="str">
        <f ca="1">IFERROR(__xludf.DUMMYFUNCTION("ARRAYFORMULA(GOOGLETRANSLATE(A:A, ""auto"", ""fa""))
"),"من برادرش هستم. کلی از اینا دارم.")</f>
        <v>من برادرش هستم. کلی از اینا دارم.</v>
      </c>
    </row>
    <row r="373" spans="1:1" ht="15.75" customHeight="1" x14ac:dyDescent="0.3">
      <c r="A373" s="1" t="str">
        <f ca="1">IFERROR(__xludf.DUMMYFUNCTION("ARRAYFORMULA(GOOGLETRANSLATE(A:A, ""auto"", ""fa""))
"),"فقط یه هری وجود داره. خفه شو، سیموس.")</f>
        <v>فقط یه هری وجود داره. خفه شو، سیموس.</v>
      </c>
    </row>
    <row r="374" spans="1:1" ht="15.75" customHeight="1" x14ac:dyDescent="0.3">
      <c r="A374" s="1" t="str">
        <f ca="1">IFERROR(__xludf.DUMMYFUNCTION("ARRAYFORMULA(GOOGLETRANSLATE(A:A, ""auto"", ""fa""))
"),"چی شده، جینی؟")</f>
        <v>چی شده، جینی؟</v>
      </c>
    </row>
    <row r="375" spans="1:1" ht="15.75" customHeight="1" x14ac:dyDescent="0.3">
      <c r="A375" s="1" t="str">
        <f ca="1">IFERROR(__xludf.DUMMYFUNCTION("ARRAYFORMULA(GOOGLETRANSLATE(A:A, ""auto"", ""fa""))
"),"اسنیپ می‌داند. او می‌داند که هری در هاگزمید دیده شده است.")</f>
        <v>اسنیپ می‌داند. او می‌داند که هری در هاگزمید دیده شده است.</v>
      </c>
    </row>
    <row r="376" spans="1:1" ht="15.75" customHeight="1" x14ac:dyDescent="0.3">
      <c r="A376" s="1" t="str">
        <f ca="1">IFERROR(__xludf.DUMMYFUNCTION("ARRAYFORMULA(GOOGLETRANSLATE(A:A, ""auto"", ""fa""))
"),"&lt;font color=""#FFFF00""&gt;(راهپیمایی گروهی)&lt;/font&gt;")</f>
        <v>&lt;font color="#FFFF00"&gt;(راهپیمایی گروهی)&lt;/font&gt;</v>
      </c>
    </row>
    <row r="377" spans="1:1" ht="15.75" customHeight="1" x14ac:dyDescent="0.3">
      <c r="A377" s="1" t="str">
        <f ca="1">IFERROR(__xludf.DUMMYFUNCTION("ARRAYFORMULA(GOOGLETRANSLATE(A:A, ""auto"", ""fa""))
"),"مطمئناً بسیاری از شما تعجب می‌کنید که چرا شما را در این ساعت احضار کرده‌ام.")</f>
        <v>مطمئناً بسیاری از شما تعجب می‌کنید که چرا شما را در این ساعت احضار کرده‌ام.</v>
      </c>
    </row>
    <row r="378" spans="1:1" ht="15.75" customHeight="1" x14ac:dyDescent="0.3">
      <c r="A378" s="1" t="str">
        <f ca="1">IFERROR(__xludf.DUMMYFUNCTION("ARRAYFORMULA(GOOGLETRANSLATE(A:A, ""auto"", ""fa""))
"),"توجهم جلب شد که اوایل امشب...")</f>
        <v>توجهم جلب شد که اوایل امشب...</v>
      </c>
    </row>
    <row r="379" spans="1:1" ht="15.75" customHeight="1" x14ac:dyDescent="0.3">
      <c r="A379" s="1" t="str">
        <f ca="1">IFERROR(__xludf.DUMMYFUNCTION("ARRAYFORMULA(GOOGLETRANSLATE(A:A, ""auto"", ""fa""))
"),"...هری پاتر در هاگزمید دیده شد.")</f>
        <v>...هری پاتر در هاگزمید دیده شد.</v>
      </c>
    </row>
    <row r="380" spans="1:1" ht="15.75" customHeight="1" x14ac:dyDescent="0.3">
      <c r="A380" s="1" t="str">
        <f ca="1">IFERROR(__xludf.DUMMYFUNCTION("ARRAYFORMULA(GOOGLETRANSLATE(A:A, ""auto"", ""fa""))
"),"&lt;font color=""#FFFF00""&gt;(زمزمه)&lt;/font&gt;")</f>
        <v>&lt;font color="#FFFF00"&gt;(زمزمه)&lt;/font&gt;</v>
      </c>
    </row>
    <row r="381" spans="1:1" ht="15.75" customHeight="1" x14ac:dyDescent="0.3">
      <c r="A381" s="1" t="str">
        <f ca="1">IFERROR(__xludf.DUMMYFUNCTION("ARRAYFORMULA(GOOGLETRANSLATE(A:A, ""auto"", ""fa""))
"),"حالا...")</f>
        <v>حالا...</v>
      </c>
    </row>
    <row r="382" spans="1:1" ht="15.75" customHeight="1" x14ac:dyDescent="0.3">
      <c r="A382" s="1" t="str">
        <f ca="1">IFERROR(__xludf.DUMMYFUNCTION("ARRAYFORMULA(GOOGLETRANSLATE(A:A, ""auto"", ""fa""))
"),"... آیا کسی باید ...")</f>
        <v>... آیا کسی باید ...</v>
      </c>
    </row>
    <row r="383" spans="1:1" ht="15.75" customHeight="1" x14ac:dyDescent="0.3">
      <c r="A383" s="1" t="str">
        <f ca="1">IFERROR(__xludf.DUMMYFUNCTION("ARRAYFORMULA(GOOGLETRANSLATE(A:A, ""auto"", ""fa""))
"),"...دانشجو یا کارمند، سعی کنید به آقای پاتر کمک کنید...")</f>
        <v>...دانشجو یا کارمند، سعی کنید به آقای پاتر کمک کنید...</v>
      </c>
    </row>
    <row r="384" spans="1:1" ht="15.75" customHeight="1" x14ac:dyDescent="0.3">
      <c r="A384" s="1" t="str">
        <f ca="1">IFERROR(__xludf.DUMMYFUNCTION("ARRAYFORMULA(GOOGLETRANSLATE(A:A, ""auto"", ""fa""))
"),"...مجازات خواهند شد...")</f>
        <v>...مجازات خواهند شد...</v>
      </c>
    </row>
    <row r="385" spans="1:1" ht="15.75" customHeight="1" x14ac:dyDescent="0.3">
      <c r="A385" s="1" t="str">
        <f ca="1">IFERROR(__xludf.DUMMYFUNCTION("ARRAYFORMULA(GOOGLETRANSLATE(A:A, ""auto"", ""fa""))
"),"... به شیوه‌ای متناسب با شدت تخلف آنها.")</f>
        <v>... به شیوه‌ای متناسب با شدت تخلف آنها.</v>
      </c>
    </row>
    <row r="386" spans="1:1" ht="15.75" customHeight="1" x14ac:dyDescent="0.3">
      <c r="A386" s="1" t="str">
        <f ca="1">IFERROR(__xludf.DUMMYFUNCTION("ARRAYFORMULA(GOOGLETRANSLATE(A:A, ""auto"", ""fa""))
"),"علاوه بر این ...")</f>
        <v>علاوه بر این ...</v>
      </c>
    </row>
    <row r="387" spans="1:1" ht="15.75" customHeight="1" x14ac:dyDescent="0.3">
      <c r="A387" s="1" t="str">
        <f ca="1">IFERROR(__xludf.DUMMYFUNCTION("ARRAYFORMULA(GOOGLETRANSLATE(A:A, ""auto"", ""fa""))
"),"...هر شخصی که از این وقایع مطلع باشد...")</f>
        <v>...هر شخصی که از این وقایع مطلع باشد...</v>
      </c>
    </row>
    <row r="388" spans="1:1" ht="15.75" customHeight="1" x14ac:dyDescent="0.3">
      <c r="A388" s="1" t="str">
        <f ca="1">IFERROR(__xludf.DUMMYFUNCTION("ARRAYFORMULA(GOOGLETRANSLATE(A:A, ""auto"", ""fa""))
"),"...کسی که جلو نمی آید...")</f>
        <v>...کسی که جلو نمی آید...</v>
      </c>
    </row>
    <row r="389" spans="1:1" ht="15.75" customHeight="1" x14ac:dyDescent="0.3">
      <c r="A389" s="1" t="str">
        <f ca="1">IFERROR(__xludf.DUMMYFUNCTION("ARRAYFORMULA(GOOGLETRANSLATE(A:A, ""auto"", ""fa""))
"),"...به عنوان ... رفتار خواهد شد.")</f>
        <v>...به عنوان ... رفتار خواهد شد.</v>
      </c>
    </row>
    <row r="390" spans="1:1" ht="15.75" customHeight="1" x14ac:dyDescent="0.3">
      <c r="A390" s="1" t="str">
        <f ca="1">IFERROR(__xludf.DUMMYFUNCTION("ARRAYFORMULA(GOOGLETRANSLATE(A:A, ""auto"", ""fa""))
"),"...به همان اندازه گناهکار.")</f>
        <v>...به همان اندازه گناهکار.</v>
      </c>
    </row>
    <row r="391" spans="1:1" ht="15.75" customHeight="1" x14ac:dyDescent="0.3">
      <c r="A391" s="1" t="str">
        <f ca="1">IFERROR(__xludf.DUMMYFUNCTION("ARRAYFORMULA(GOOGLETRANSLATE(A:A, ""auto"", ""fa""))
"),"حالا پس...")</f>
        <v>حالا پس...</v>
      </c>
    </row>
    <row r="392" spans="1:1" ht="15.75" customHeight="1" x14ac:dyDescent="0.3">
      <c r="A392" s="1" t="str">
        <f ca="1">IFERROR(__xludf.DUMMYFUNCTION("ARRAYFORMULA(GOOGLETRANSLATE(A:A, ""auto"", ""fa""))
"),"...اگر کسی اینجا ...")</f>
        <v>...اگر کسی اینجا ...</v>
      </c>
    </row>
    <row r="393" spans="1:1" ht="15.75" customHeight="1" x14ac:dyDescent="0.3">
      <c r="A393" s="1" t="str">
        <f ca="1">IFERROR(__xludf.DUMMYFUNCTION("ARRAYFORMULA(GOOGLETRANSLATE(A:A, ""auto"", ""fa""))
"),"...از حرکات آقای پاتر امشب اطلاعی دارد...")</f>
        <v>...از حرکات آقای پاتر امشب اطلاعی دارد...</v>
      </c>
    </row>
    <row r="394" spans="1:1" ht="15.75" customHeight="1" x14ac:dyDescent="0.3">
      <c r="A394" s="1" t="str">
        <f ca="1">IFERROR(__xludf.DUMMYFUNCTION("ARRAYFORMULA(GOOGLETRANSLATE(A:A, ""auto"", ""fa""))
"),"...من از آنها دعوت می‌کنم که قدم پیش بگذارند...")</f>
        <v>...من از آنها دعوت می‌کنم که قدم پیش بگذارند...</v>
      </c>
    </row>
    <row r="395" spans="1:1" ht="15.75" customHeight="1" x14ac:dyDescent="0.3">
      <c r="A395" s="1" t="str">
        <f ca="1">IFERROR(__xludf.DUMMYFUNCTION("ARRAYFORMULA(GOOGLETRANSLATE(A:A, ""auto"", ""fa""))
"),"...الان.")</f>
        <v>...الان.</v>
      </c>
    </row>
    <row r="396" spans="1:1" ht="15.75" customHeight="1" x14ac:dyDescent="0.3">
      <c r="A396" s="1" t="str">
        <f ca="1">IFERROR(__xludf.DUMMYFUNCTION("ARRAYFORMULA(GOOGLETRANSLATE(A:A, ""auto"", ""fa""))
"),"&lt;font color=""#FFFF00""&gt;(زمزمه)&lt;/font&gt;")</f>
        <v>&lt;font color="#FFFF00"&gt;(زمزمه)&lt;/font&gt;</v>
      </c>
    </row>
    <row r="397" spans="1:1" ht="15.75" customHeight="1" x14ac:dyDescent="0.3">
      <c r="A397" s="1" t="str">
        <f ca="1">IFERROR(__xludf.DUMMYFUNCTION("ARRAYFORMULA(GOOGLETRANSLATE(A:A, ""auto"", ""fa""))
"),"به نظر می‌رسد، علیرغم استراتژی‌های دفاعی جامع شما...")</f>
        <v>به نظر می‌رسد، علیرغم استراتژی‌های دفاعی جامع شما...</v>
      </c>
    </row>
    <row r="398" spans="1:1" ht="15.75" customHeight="1" x14ac:dyDescent="0.3">
      <c r="A398" s="1" t="str">
        <f ca="1">IFERROR(__xludf.DUMMYFUNCTION("ARRAYFORMULA(GOOGLETRANSLATE(A:A, ""auto"", ""fa""))
"),"...شما هنوز کمی مشکل امنیتی دارید، مدیر.")</f>
        <v>...شما هنوز کمی مشکل امنیتی دارید، مدیر.</v>
      </c>
    </row>
    <row r="399" spans="1:1" ht="15.75" customHeight="1" x14ac:dyDescent="0.3">
      <c r="A399" s="1" t="str">
        <f ca="1">IFERROR(__xludf.DUMMYFUNCTION("ARRAYFORMULA(GOOGLETRANSLATE(A:A, ""auto"", ""fa""))
"),"و من می‌ترسم که این موضوع کاملاً گسترده باشد.")</f>
        <v>و من می‌ترسم که این موضوع کاملاً گسترده باشد.</v>
      </c>
    </row>
    <row r="400" spans="1:1" ht="15.75" customHeight="1" x14ac:dyDescent="0.3">
      <c r="A400" s="1" t="str">
        <f ca="1">IFERROR(__xludf.DUMMYFUNCTION("ARRAYFORMULA(GOOGLETRANSLATE(A:A, ""auto"", ""fa""))
"),"چطور جرأت می‌کنی جایی که او ایستاده بود بایستی؟")</f>
        <v>چطور جرأت می‌کنی جایی که او ایستاده بود بایستی؟</v>
      </c>
    </row>
    <row r="401" spans="1:1" ht="15.75" customHeight="1" x14ac:dyDescent="0.3">
      <c r="A401" s="1" t="str">
        <f ca="1">IFERROR(__xludf.DUMMYFUNCTION("ARRAYFORMULA(GOOGLETRANSLATE(A:A, ""auto"", ""fa""))
"),"به آنها بگو که آن شب چطور اتفاق افتاد.")</f>
        <v>به آنها بگو که آن شب چطور اتفاق افتاد.</v>
      </c>
    </row>
    <row r="402" spans="1:1" ht="15.75" customHeight="1" x14ac:dyDescent="0.3">
      <c r="A402" s="1" t="str">
        <f ca="1">IFERROR(__xludf.DUMMYFUNCTION("ARRAYFORMULA(GOOGLETRANSLATE(A:A, ""auto"", ""fa""))
"),"بهشون بگو چطور تو چشمای اون، مردی که بهت اعتماد داشت، نگاه کردی و کشتیش.")</f>
        <v>بهشون بگو چطور تو چشمای اون، مردی که بهت اعتماد داشت، نگاه کردی و کشتیش.</v>
      </c>
    </row>
    <row r="403" spans="1:1" ht="15.75" customHeight="1" x14ac:dyDescent="0.3">
      <c r="A403" s="1" t="str">
        <f ca="1">IFERROR(__xludf.DUMMYFUNCTION("ARRAYFORMULA(GOOGLETRANSLATE(A:A, ""auto"", ""fa""))
"),"به آنها بگو.")</f>
        <v>به آنها بگو.</v>
      </c>
    </row>
    <row r="404" spans="1:1" ht="15.75" customHeight="1" x14ac:dyDescent="0.3">
      <c r="A404" s="1" t="str">
        <f ca="1">IFERROR(__xludf.DUMMYFUNCTION("ARRAYFORMULA(GOOGLETRANSLATE(A:A, ""auto"", ""fa""))
"),"&lt;font color=""#FFFF00""&gt;(غرغر جادوگران)&lt;/font&gt;")</f>
        <v>&lt;font color="#FFFF00"&gt;(غرغر جادوگران)&lt;/font&gt;</v>
      </c>
    </row>
    <row r="405" spans="1:1" ht="15.75" customHeight="1" x14ac:dyDescent="0.3">
      <c r="A405" s="1" t="str">
        <f ca="1">IFERROR(__xludf.DUMMYFUNCTION("ARRAYFORMULA(GOOGLETRANSLATE(A:A, ""auto"", ""fa""))
"),"&lt;font color=""#FF0000""&gt;مک‌گونگال:&lt;/font&gt; بزدل!")</f>
        <v>&lt;font color="#FF0000"&gt;مک‌گونگال:&lt;/font&gt; بزدل!</v>
      </c>
    </row>
    <row r="406" spans="1:1" ht="15.75" customHeight="1" x14ac:dyDescent="0.3">
      <c r="A406" s="1" t="str">
        <f ca="1">IFERROR(__xludf.DUMMYFUNCTION("ARRAYFORMULA(GOOGLETRANSLATE(A:A, ""auto"", ""fa""))
"),"&lt;font color=""#FFFF00""&gt;(تشویق دانش‌آموزان)&lt;/font&gt;")</f>
        <v>&lt;font color="#FFFF00"&gt;(تشویق دانش‌آموزان)&lt;/font&gt;</v>
      </c>
    </row>
    <row r="407" spans="1:1" ht="15.75" customHeight="1" x14ac:dyDescent="0.3">
      <c r="A407" s="1" t="str">
        <f ca="1">IFERROR(__xludf.DUMMYFUNCTION("ARRAYFORMULA(GOOGLETRANSLATE(A:A, ""auto"", ""fa""))
"),"ولدمورت: هری.")</f>
        <v>ولدمورت: هری.</v>
      </c>
    </row>
    <row r="408" spans="1:1" ht="15.75" customHeight="1" x14ac:dyDescent="0.3">
      <c r="A408" s="1" t="str">
        <f ca="1">IFERROR(__xludf.DUMMYFUNCTION("ARRAYFORMULA(GOOGLETRANSLATE(A:A, ""auto"", ""fa""))
"),"&lt;font color=""#FF0000""&gt;مک‌گونگال:&lt;/font&gt; پاتر؟")</f>
        <v>&lt;font color="#FF0000"&gt;مک‌گونگال:&lt;/font&gt; پاتر؟</v>
      </c>
    </row>
    <row r="409" spans="1:1" ht="15.75" customHeight="1" x14ac:dyDescent="0.3">
      <c r="A409" s="1" t="str">
        <f ca="1">IFERROR(__xludf.DUMMYFUNCTION("ARRAYFORMULA(GOOGLETRANSLATE(A:A, ""auto"", ""fa""))
"),"&lt;font color=""#FFFF00""&gt;(غرش)&lt;/font&gt;")</f>
        <v>&lt;font color="#FFFF00"&gt;(غرش)&lt;/font&gt;</v>
      </c>
    </row>
    <row r="410" spans="1:1" ht="15.75" customHeight="1" x14ac:dyDescent="0.3">
      <c r="A410" s="1" t="str">
        <f ca="1">IFERROR(__xludf.DUMMYFUNCTION("ARRAYFORMULA(GOOGLETRANSLATE(A:A, ""auto"", ""fa""))
"),"&lt;font color=""#FFFF00""&gt;(دختر اول جیغ می‌زند)&lt;/font&gt;")</f>
        <v>&lt;font color="#FFFF00"&gt;(دختر اول جیغ می‌زند)&lt;/font&gt;</v>
      </c>
    </row>
    <row r="411" spans="1:1" ht="15.75" customHeight="1" x14ac:dyDescent="0.3">
      <c r="A411" s="1" t="str">
        <f ca="1">IFERROR(__xludf.DUMMYFUNCTION("ARRAYFORMULA(GOOGLETRANSLATE(A:A, ""auto"", ""fa""))
"),"&lt;font color=""#FFFF00""&gt;(دختری در حال جیغ زدن)&lt;/font&gt;")</f>
        <v>&lt;font color="#FFFF00"&gt;(دختری در حال جیغ زدن)&lt;/font&gt;</v>
      </c>
    </row>
    <row r="412" spans="1:1" ht="15.75" customHeight="1" x14ac:dyDescent="0.3">
      <c r="A412" s="1" t="str">
        <f ca="1">IFERROR(__xludf.DUMMYFUNCTION("ARRAYFORMULA(GOOGLETRANSLATE(A:A, ""auto"", ""fa""))
"),"&lt;font color=""#FFFF00""&gt;(دختر ۳ جیغ می‌زند)&lt;/font&gt;")</f>
        <v>&lt;font color="#FFFF00"&gt;(دختر ۳ جیغ می‌زند)&lt;/font&gt;</v>
      </c>
    </row>
    <row r="413" spans="1:1" ht="15.75" customHeight="1" x14ac:dyDescent="0.3">
      <c r="A413" s="1" t="str">
        <f ca="1">IFERROR(__xludf.DUMMYFUNCTION("ARRAYFORMULA(GOOGLETRANSLATE(A:A, ""auto"", ""fa""))
"),"&lt;font color=""#FF0000""&gt;ولدمورت:&lt;/font&gt; می‌دانم که بسیاری از شما می‌خواهید بجنگید.")</f>
        <v>&lt;font color="#FF0000"&gt;ولدمورت:&lt;/font&gt; می‌دانم که بسیاری از شما می‌خواهید بجنگید.</v>
      </c>
    </row>
    <row r="414" spans="1:1" ht="15.75" customHeight="1" x14ac:dyDescent="0.3">
      <c r="A414" s="1" t="str">
        <f ca="1">IFERROR(__xludf.DUMMYFUNCTION("ARRAYFORMULA(GOOGLETRANSLATE(A:A, ""auto"", ""fa""))
"),"بعضی از شما حتی ممکن است فکر کنید که جنگیدن عاقلانه است.")</f>
        <v>بعضی از شما حتی ممکن است فکر کنید که جنگیدن عاقلانه است.</v>
      </c>
    </row>
    <row r="415" spans="1:1" ht="15.75" customHeight="1" x14ac:dyDescent="0.3">
      <c r="A415" s="1" t="str">
        <f ca="1">IFERROR(__xludf.DUMMYFUNCTION("ARRAYFORMULA(GOOGLETRANSLATE(A:A, ""auto"", ""fa""))
"),"اما این حماقت است.")</f>
        <v>اما این حماقت است.</v>
      </c>
    </row>
    <row r="416" spans="1:1" ht="15.75" customHeight="1" x14ac:dyDescent="0.3">
      <c r="A416" s="1" t="str">
        <f ca="1">IFERROR(__xludf.DUMMYFUNCTION("ARRAYFORMULA(GOOGLETRANSLATE(A:A, ""auto"", ""fa""))
"),"هری پاتر رو بهم بده.")</f>
        <v>هری پاتر رو بهم بده.</v>
      </c>
    </row>
    <row r="417" spans="1:1" ht="15.75" customHeight="1" x14ac:dyDescent="0.3">
      <c r="A417" s="1" t="str">
        <f ca="1">IFERROR(__xludf.DUMMYFUNCTION("ARRAYFORMULA(GOOGLETRANSLATE(A:A, ""auto"", ""fa""))
"),"این کار را انجام دهید و به هیچ کس آسیبی نخواهد رسید.")</f>
        <v>این کار را انجام دهید و به هیچ کس آسیبی نخواهد رسید.</v>
      </c>
    </row>
    <row r="418" spans="1:1" ht="15.75" customHeight="1" x14ac:dyDescent="0.3">
      <c r="A418" s="1" t="str">
        <f ca="1">IFERROR(__xludf.DUMMYFUNCTION("ARRAYFORMULA(GOOGLETRANSLATE(A:A, ""auto"", ""fa""))
"),"هری پاتر را به من بدهید، هاگوارتز را دست نخورده باقی می‌گذارم.")</f>
        <v>هری پاتر را به من بدهید، هاگوارتز را دست نخورده باقی می‌گذارم.</v>
      </c>
    </row>
    <row r="419" spans="1:1" ht="15.75" customHeight="1" x14ac:dyDescent="0.3">
      <c r="A419" s="1" t="str">
        <f ca="1">IFERROR(__xludf.DUMMYFUNCTION("ARRAYFORMULA(GOOGLETRANSLATE(A:A, ""auto"", ""fa""))
"),"هری پاتر رو بهم بده...")</f>
        <v>هری پاتر رو بهم بده...</v>
      </c>
    </row>
    <row r="420" spans="1:1" ht="15.75" customHeight="1" x14ac:dyDescent="0.3">
      <c r="A420" s="1" t="str">
        <f ca="1">IFERROR(__xludf.DUMMYFUNCTION("ARRAYFORMULA(GOOGLETRANSLATE(A:A, ""auto"", ""fa""))
"),"... و پاداش خواهید گرفت.")</f>
        <v>... و پاداش خواهید گرفت.</v>
      </c>
    </row>
    <row r="421" spans="1:1" ht="15.75" customHeight="1" x14ac:dyDescent="0.3">
      <c r="A421" s="1" t="str">
        <f ca="1">IFERROR(__xludf.DUMMYFUNCTION("ARRAYFORMULA(GOOGLETRANSLATE(A:A, ""auto"", ""fa""))
"),"یک ساعت وقت دارید.")</f>
        <v>یک ساعت وقت دارید.</v>
      </c>
    </row>
    <row r="422" spans="1:1" ht="15.75" customHeight="1" x14ac:dyDescent="0.3">
      <c r="A422" s="1" t="str">
        <f ca="1">IFERROR(__xludf.DUMMYFUNCTION("ARRAYFORMULA(GOOGLETRANSLATE(A:A, ""auto"", ""fa""))
"),"پَنسی: منتظر چی هستی؟")</f>
        <v>پَنسی: منتظر چی هستی؟</v>
      </c>
    </row>
    <row r="423" spans="1:1" ht="15.75" customHeight="1" x14ac:dyDescent="0.3">
      <c r="A423" s="1" t="str">
        <f ca="1">IFERROR(__xludf.DUMMYFUNCTION("ARRAYFORMULA(GOOGLETRANSLATE(A:A, ""auto"", ""fa""))
"),"یکی اونو بگیره.")</f>
        <v>یکی اونو بگیره.</v>
      </c>
    </row>
    <row r="424" spans="1:1" ht="15.75" customHeight="1" x14ac:dyDescent="0.3">
      <c r="A424" s="1" t="str">
        <f ca="1">IFERROR(__xludf.DUMMYFUNCTION("ARRAYFORMULA(GOOGLETRANSLATE(A:A, ""auto"", ""fa""))
"),"&lt;font color=""#FF0000""&gt;فیلچ:&lt;/font&gt; دانش‌آموزان از رختخواب بیرون آمده‌اند.")</f>
        <v>&lt;font color="#FF0000"&gt;فیلچ:&lt;/font&gt; دانش‌آموزان از رختخواب بیرون آمده‌اند.</v>
      </c>
    </row>
    <row r="425" spans="1:1" ht="15.75" customHeight="1" x14ac:dyDescent="0.3">
      <c r="A425" s="1" t="str">
        <f ca="1">IFERROR(__xludf.DUMMYFUNCTION("ARRAYFORMULA(GOOGLETRANSLATE(A:A, ""auto"", ""fa""))
"),"دانش‌آموزان از رختخواب بیرون!")</f>
        <v>دانش‌آموزان از رختخواب بیرون!</v>
      </c>
    </row>
    <row r="426" spans="1:1" ht="15.75" customHeight="1" x14ac:dyDescent="0.3">
      <c r="A426" s="1" t="str">
        <f ca="1">IFERROR(__xludf.DUMMYFUNCTION("ARRAYFORMULA(GOOGLETRANSLATE(A:A, ""auto"", ""fa""))
"),"دانشجوها تو راهرو!")</f>
        <v>دانشجوها تو راهرو!</v>
      </c>
    </row>
    <row r="427" spans="1:1" ht="15.75" customHeight="1" x14ac:dyDescent="0.3">
      <c r="A427" s="1" t="str">
        <f ca="1">IFERROR(__xludf.DUMMYFUNCTION("ARRAYFORMULA(GOOGLETRANSLATE(A:A, ""auto"", ""fa""))
"),"اونا قراره از رختخواب بیرون بیان، احمقِ بی‌عرضه.")</f>
        <v>اونا قراره از رختخواب بیرون بیان، احمقِ بی‌عرضه.</v>
      </c>
    </row>
    <row r="428" spans="1:1" ht="15.75" customHeight="1" x14ac:dyDescent="0.3">
      <c r="A428" s="1" t="str">
        <f ca="1">IFERROR(__xludf.DUMMYFUNCTION("ARRAYFORMULA(GOOGLETRANSLATE(A:A, ""auto"", ""fa""))
"),"اوه.")</f>
        <v>اوه.</v>
      </c>
    </row>
    <row r="429" spans="1:1" ht="15.75" customHeight="1" x14ac:dyDescent="0.3">
      <c r="A429" s="1" t="str">
        <f ca="1">IFERROR(__xludf.DUMMYFUNCTION("ARRAYFORMULA(GOOGLETRANSLATE(A:A, ""auto"", ""fa""))
"),"ببخشید خانم.")</f>
        <v>ببخشید خانم.</v>
      </c>
    </row>
    <row r="430" spans="1:1" ht="15.75" customHeight="1" x14ac:dyDescent="0.3">
      <c r="A430" s="1" t="str">
        <f ca="1">IFERROR(__xludf.DUMMYFUNCTION("ARRAYFORMULA(GOOGLETRANSLATE(A:A, ""auto"", ""fa""))
"),"اتفاقاً، آقای فیلچ، ورود شما بسیار به موقع است.")</f>
        <v>اتفاقاً، آقای فیلچ، ورود شما بسیار به موقع است.</v>
      </c>
    </row>
    <row r="431" spans="1:1" ht="15.75" customHeight="1" x14ac:dyDescent="0.3">
      <c r="A431" s="1" t="str">
        <f ca="1">IFERROR(__xludf.DUMMYFUNCTION("ARRAYFORMULA(GOOGLETRANSLATE(A:A, ""auto"", ""fa""))
"),"اگر مایل باشید، از شما خواهش می‌کنم...")</f>
        <v>اگر مایل باشید، از شما خواهش می‌کنم...</v>
      </c>
    </row>
    <row r="432" spans="1:1" ht="15.75" customHeight="1" x14ac:dyDescent="0.3">
      <c r="A432" s="1" t="str">
        <f ca="1">IFERROR(__xludf.DUMMYFUNCTION("ARRAYFORMULA(GOOGLETRANSLATE(A:A, ""auto"", ""fa""))
"),"... تا خانم پارکینسون و بقیه‌ی اعضای گروه اسلیترین را از راهرو هدایت کند.")</f>
        <v>... تا خانم پارکینسون و بقیه‌ی اعضای گروه اسلیترین را از راهرو هدایت کند.</v>
      </c>
    </row>
    <row r="433" spans="1:1" ht="15.75" customHeight="1" x14ac:dyDescent="0.3">
      <c r="A433" s="1" t="str">
        <f ca="1">IFERROR(__xludf.DUMMYFUNCTION("ARRAYFORMULA(GOOGLETRANSLATE(A:A, ""auto"", ""fa""))
"),"دقیقاً قراره کجا هدایتشون کنم، خانم؟")</f>
        <v>دقیقاً قراره کجا هدایتشون کنم، خانم؟</v>
      </c>
    </row>
    <row r="434" spans="1:1" ht="15.75" customHeight="1" x14ac:dyDescent="0.3">
      <c r="A434" s="1" t="str">
        <f ca="1">IFERROR(__xludf.DUMMYFUNCTION("ARRAYFORMULA(GOOGLETRANSLATE(A:A, ""auto"", ""fa""))
"),"سیاه‌چال‌ها کافی بودند.")</f>
        <v>سیاه‌چال‌ها کافی بودند.</v>
      </c>
    </row>
    <row r="435" spans="1:1" ht="15.75" customHeight="1" x14ac:dyDescent="0.3">
      <c r="A435" s="1" t="str">
        <f ca="1">IFERROR(__xludf.DUMMYFUNCTION("ARRAYFORMULA(GOOGLETRANSLATE(A:A, ""auto"", ""fa""))
"),"&lt;font color=""#FFFF00""&gt;(تشویق)&lt;/font&gt;")</f>
        <v>&lt;font color="#FFFF00"&gt;(تشویق)&lt;/font&gt;</v>
      </c>
    </row>
    <row r="436" spans="1:1" ht="15.75" customHeight="1" x14ac:dyDescent="0.3">
      <c r="A436" s="1" t="str">
        <f ca="1">IFERROR(__xludf.DUMMYFUNCTION("ARRAYFORMULA(GOOGLETRANSLATE(A:A, ""auto"", ""fa""))
"),"&lt;font color=""#FF0000""&gt;فیلچ:&lt;/font&gt; باشه. بیا. بیا.")</f>
        <v>&lt;font color="#FF0000"&gt;فیلچ:&lt;/font&gt; باشه. بیا. بیا.</v>
      </c>
    </row>
    <row r="437" spans="1:1" ht="15.75" customHeight="1" x14ac:dyDescent="0.3">
      <c r="A437" s="1" t="str">
        <f ca="1">IFERROR(__xludf.DUMMYFUNCTION("ARRAYFORMULA(GOOGLETRANSLATE(A:A, ""auto"", ""fa""))
"),"حدس می‌زنم دلیلی برای برگشتنت داری، پاتر. چی لازم داری؟")</f>
        <v>حدس می‌زنم دلیلی برای برگشتنت داری، پاتر. چی لازم داری؟</v>
      </c>
    </row>
    <row r="438" spans="1:1" ht="15.75" customHeight="1" x14ac:dyDescent="0.3">
      <c r="A438" s="1" t="str">
        <f ca="1">IFERROR(__xludf.DUMMYFUNCTION("ARRAYFORMULA(GOOGLETRANSLATE(A:A, ""auto"", ""fa""))
"),"وقت، پروفسور. تا جایی که می‌توانید به من وقت بدهید.")</f>
        <v>وقت، پروفسور. تا جایی که می‌توانید به من وقت بدهید.</v>
      </c>
    </row>
    <row r="439" spans="1:1" ht="15.75" customHeight="1" x14ac:dyDescent="0.3">
      <c r="A439" s="1" t="str">
        <f ca="1">IFERROR(__xludf.DUMMYFUNCTION("ARRAYFORMULA(GOOGLETRANSLATE(A:A, ""auto"", ""fa""))
"),"هر کاری که باید انجام بدی رو انجام بده. من قلعه رو امن می‌کنم.")</f>
        <v>هر کاری که باید انجام بدی رو انجام بده. من قلعه رو امن می‌کنم.</v>
      </c>
    </row>
    <row r="440" spans="1:1" ht="15.75" customHeight="1" x14ac:dyDescent="0.3">
      <c r="A440" s="1" t="str">
        <f ca="1">IFERROR(__xludf.DUMMYFUNCTION("ARRAYFORMULA(GOOGLETRANSLATE(A:A, ""auto"", ""fa""))
"),"پاتر")</f>
        <v>پاتر</v>
      </c>
    </row>
    <row r="441" spans="1:1" ht="15.75" customHeight="1" x14ac:dyDescent="0.3">
      <c r="A441" s="1" t="str">
        <f ca="1">IFERROR(__xludf.DUMMYFUNCTION("ARRAYFORMULA(GOOGLETRANSLATE(A:A, ""auto"", ""fa""))
"),"از دیدنت خوشحالم.")</f>
        <v>از دیدنت خوشحالم.</v>
      </c>
    </row>
    <row r="442" spans="1:1" ht="15.75" customHeight="1" x14ac:dyDescent="0.3">
      <c r="A442" s="1" t="str">
        <f ca="1">IFERROR(__xludf.DUMMYFUNCTION("ARRAYFORMULA(GOOGLETRANSLATE(A:A, ""auto"", ""fa""))
"),"من هم از دیدن شما خوشحالم، پروفسور.")</f>
        <v>من هم از دیدن شما خوشحالم، پروفسور.</v>
      </c>
    </row>
    <row r="443" spans="1:1" ht="15.75" customHeight="1" x14ac:dyDescent="0.3">
      <c r="A443" s="1" t="str">
        <f ca="1">IFERROR(__xludf.DUMMYFUNCTION("ARRAYFORMULA(GOOGLETRANSLATE(A:A, ""auto"", ""fa""))
"),"دژ رو محکم نگه دار، نویل.")</f>
        <v>دژ رو محکم نگه دار، نویل.</v>
      </c>
    </row>
    <row r="444" spans="1:1" ht="15.75" customHeight="1" x14ac:dyDescent="0.3">
      <c r="A444" s="1" t="str">
        <f ca="1">IFERROR(__xludf.DUMMYFUNCTION("ARRAYFORMULA(GOOGLETRANSLATE(A:A, ""auto"", ""fa""))
"),"&lt;font color=""#FFFF00""&gt;(دانش‌آموزان پچ‌پچ می‌کنند)&lt;/font&gt;")</f>
        <v>&lt;font color="#FFFF00"&gt;(دانش‌آموزان پچ‌پچ می‌کنند)&lt;/font&gt;</v>
      </c>
    </row>
    <row r="445" spans="1:1" ht="15.75" customHeight="1" x14ac:dyDescent="0.3">
      <c r="A445" s="1" t="str">
        <f ca="1">IFERROR(__xludf.DUMMYFUNCTION("ARRAYFORMULA(GOOGLETRANSLATE(A:A, ""auto"", ""fa""))
"),"&lt;font color=""#FF0000""&gt;دختر:&lt;/font&gt; عجله کن، بیا!")</f>
        <v>&lt;font color="#FF0000"&gt;دختر:&lt;/font&gt; عجله کن، بیا!</v>
      </c>
    </row>
    <row r="446" spans="1:1" ht="15.75" customHeight="1" x14ac:dyDescent="0.3">
      <c r="A446" s="1" t="str">
        <f ca="1">IFERROR(__xludf.DUMMYFUNCTION("ARRAYFORMULA(GOOGLETRANSLATE(A:A, ""auto"", ""fa""))
"),"&lt;font color=""#FF0000""&gt;رون:&lt;/font&gt; هری. من و هرمیون داشتیم فکر می‌کردیم.")</f>
        <v>&lt;font color="#FF0000"&gt;رون:&lt;/font&gt; هری. من و هرمیون داشتیم فکر می‌کردیم.</v>
      </c>
    </row>
    <row r="447" spans="1:1" ht="15.75" customHeight="1" x14ac:dyDescent="0.3">
      <c r="A447" s="1" t="str">
        <f ca="1">IFERROR(__xludf.DUMMYFUNCTION("ARRAYFORMULA(GOOGLETRANSLATE(A:A, ""auto"", ""fa""))
"),"فرقی نمی‌کند که هورکراکس پیدا کنیم یا نه.")</f>
        <v>فرقی نمی‌کند که هورکراکس پیدا کنیم یا نه.</v>
      </c>
    </row>
    <row r="448" spans="1:1" ht="15.75" customHeight="1" x14ac:dyDescent="0.3">
      <c r="A448" s="1" t="str">
        <f ca="1">IFERROR(__xludf.DUMMYFUNCTION("ARRAYFORMULA(GOOGLETRANSLATE(A:A, ""auto"", ""fa""))
"),"منظورت چیه؟
مگر اینکه بتونیم نابودش کنیم.")</f>
        <v>منظورت چیه؟
مگر اینکه بتونیم نابودش کنیم.</v>
      </c>
    </row>
    <row r="449" spans="1:1" ht="15.75" customHeight="1" x14ac:dyDescent="0.3">
      <c r="A449" s="1" t="str">
        <f ca="1">IFERROR(__xludf.DUMMYFUNCTION("ARRAYFORMULA(GOOGLETRANSLATE(A:A, ""auto"", ""fa""))
"),"&lt;font color=""#FF0000""&gt;رون:&lt;/font&gt; خب، ما داشتیم فکر می‌کردیم...")</f>
        <v>&lt;font color="#FF0000"&gt;رون:&lt;/font&gt; خب، ما داشتیم فکر می‌کردیم...</v>
      </c>
    </row>
    <row r="450" spans="1:1" ht="15.75" customHeight="1" x14ac:dyDescent="0.3">
      <c r="A450" s="1" t="str">
        <f ca="1">IFERROR(__xludf.DUMMYFUNCTION("ARRAYFORMULA(GOOGLETRANSLATE(A:A, ""auto"", ""fa""))
"),"رون داشت فکر می‌کرد. این ایده‌ی رون بود. خیلی عالی بود.")</f>
        <v>رون داشت فکر می‌کرد. این ایده‌ی رون بود. خیلی عالی بود.</v>
      </c>
    </row>
    <row r="451" spans="1:1" ht="15.75" customHeight="1" x14ac:dyDescent="0.3">
      <c r="A451" s="1" t="str">
        <f ca="1">IFERROR(__xludf.DUMMYFUNCTION("ARRAYFORMULA(GOOGLETRANSLATE(A:A, ""auto"", ""fa""))
"),"تو دفتر خاطرات تام ریدل رو با نیش یه مارمولک نابود کردی، درسته؟")</f>
        <v>تو دفتر خاطرات تام ریدل رو با نیش یه مارمولک نابود کردی، درسته؟</v>
      </c>
    </row>
    <row r="452" spans="1:1" ht="15.75" customHeight="1" x14ac:dyDescent="0.3">
      <c r="A452" s="1" t="str">
        <f ca="1">IFERROR(__xludf.DUMMYFUNCTION("ARRAYFORMULA(GOOGLETRANSLATE(A:A, ""auto"", ""fa""))
"),"من و هرمیون می‌دانیم کجا ممکن است یکی پیدا کنیم.")</f>
        <v>من و هرمیون می‌دانیم کجا ممکن است یکی پیدا کنیم.</v>
      </c>
    </row>
    <row r="453" spans="1:1" ht="15.75" customHeight="1" x14ac:dyDescent="0.3">
      <c r="A453" s="1" t="str">
        <f ca="1">IFERROR(__xludf.DUMMYFUNCTION("ARRAYFORMULA(GOOGLETRANSLATE(A:A, ""auto"", ""fa""))
"),"باشه.")</f>
        <v>باشه.</v>
      </c>
    </row>
    <row r="454" spans="1:1" ht="15.75" customHeight="1" x14ac:dyDescent="0.3">
      <c r="A454" s="1" t="str">
        <f ca="1">IFERROR(__xludf.DUMMYFUNCTION("ARRAYFORMULA(GOOGLETRANSLATE(A:A, ""auto"", ""fa""))
"),"باشه، اما اینو بگیر. اینجوری وقتی برگشتی می‌تونی پیدام کنی.")</f>
        <v>باشه، اما اینو بگیر. اینجوری وقتی برگشتی می‌تونی پیدام کنی.</v>
      </c>
    </row>
    <row r="455" spans="1:1" ht="15.75" customHeight="1" x14ac:dyDescent="0.3">
      <c r="A455" s="1" t="str">
        <f ca="1">IFERROR(__xludf.DUMMYFUNCTION("ARRAYFORMULA(GOOGLETRANSLATE(A:A, ""auto"", ""fa""))
"),"کجا میری؟
سالن عمومی ریونکلاو.")</f>
        <v>کجا میری؟
سالن عمومی ریونکلاو.</v>
      </c>
    </row>
    <row r="456" spans="1:1" ht="15.75" customHeight="1" x14ac:dyDescent="0.3">
      <c r="A456" s="1" t="str">
        <f ca="1">IFERROR(__xludf.DUMMYFUNCTION("ARRAYFORMULA(GOOGLETRANSLATE(A:A, ""auto"", ""fa""))
"),"بالاخره باید از یه جایی شروع کرد دیگه")</f>
        <v>بالاخره باید از یه جایی شروع کرد دیگه</v>
      </c>
    </row>
    <row r="457" spans="1:1" ht="15.75" customHeight="1" x14ac:dyDescent="0.3">
      <c r="A457" s="1" t="str">
        <f ca="1">IFERROR(__xludf.DUMMYFUNCTION("ARRAYFORMULA(GOOGLETRANSLATE(A:A, ""auto"", ""fa""))
"),"لونا: هری. هری!")</f>
        <v>لونا: هری. هری!</v>
      </c>
    </row>
    <row r="458" spans="1:1" ht="15.75" customHeight="1" x14ac:dyDescent="0.3">
      <c r="A458" s="1" t="str">
        <f ca="1">IFERROR(__xludf.DUMMYFUNCTION("ARRAYFORMULA(GOOGLETRANSLATE(A:A, ""auto"", ""fa""))
"),"بذار رک و راست بگم. تو داری به ما اجازه میدی این کار رو بکنیم؟")</f>
        <v>بذار رک و راست بگم. تو داری به ما اجازه میدی این کار رو بکنیم؟</v>
      </c>
    </row>
    <row r="459" spans="1:1" ht="15.75" customHeight="1" x14ac:dyDescent="0.3">
      <c r="A459" s="1" t="str">
        <f ca="1">IFERROR(__xludf.DUMMYFUNCTION("ARRAYFORMULA(GOOGLETRANSLATE(A:A, ""auto"", ""fa""))
"),"درست است، لانگ‌باتم.")</f>
        <v>درست است، لانگ‌باتم.</v>
      </c>
    </row>
    <row r="460" spans="1:1" ht="15.75" customHeight="1" x14ac:dyDescent="0.3">
      <c r="A460" s="1" t="str">
        <f ca="1">IFERROR(__xludf.DUMMYFUNCTION("ARRAYFORMULA(GOOGLETRANSLATE(A:A, ""auto"", ""fa""))
"),"که منفجرش کنی؟ بوم؟")</f>
        <v>که منفجرش کنی؟ بوم؟</v>
      </c>
    </row>
    <row r="461" spans="1:1" ht="15.75" customHeight="1" x14ac:dyDescent="0.3">
      <c r="A461" s="1" t="str">
        <f ca="1">IFERROR(__xludf.DUMMYFUNCTION("ARRAYFORMULA(GOOGLETRANSLATE(A:A, ""auto"", ""fa""))
"),"بوم! (بوم!)")</f>
        <v>بوم! (بوم!)</v>
      </c>
    </row>
    <row r="462" spans="1:1" ht="15.75" customHeight="1" x14ac:dyDescent="0.3">
      <c r="A462" s="1" t="str">
        <f ca="1">IFERROR(__xludf.DUMMYFUNCTION("ARRAYFORMULA(GOOGLETRANSLATE(A:A, ""auto"", ""fa""))
"),"شرور. اما چطور می‌توانیم این کار را انجام دهیم؟")</f>
        <v>شرور. اما چطور می‌توانیم این کار را انجام دهیم؟</v>
      </c>
    </row>
    <row r="463" spans="1:1" ht="15.75" customHeight="1" x14ac:dyDescent="0.3">
      <c r="A463" s="1" t="str">
        <f ca="1">IFERROR(__xludf.DUMMYFUNCTION("ARRAYFORMULA(GOOGLETRANSLATE(A:A, ""auto"", ""fa""))
"),"چرا با آقای فینیگان مشورت نمی‌کنی؟")</f>
        <v>چرا با آقای فینیگان مشورت نمی‌کنی؟</v>
      </c>
    </row>
    <row r="464" spans="1:1" ht="15.75" customHeight="1" x14ac:dyDescent="0.3">
      <c r="A464" s="1" t="str">
        <f ca="1">IFERROR(__xludf.DUMMYFUNCTION("ARRAYFORMULA(GOOGLETRANSLATE(A:A, ""auto"", ""fa""))
"),"تا جایی که من به یاد دارم، او تمایل خاصی به آتش‌بازی دارد.")</f>
        <v>تا جایی که من به یاد دارم، او تمایل خاصی به آتش‌بازی دارد.</v>
      </c>
    </row>
    <row r="465" spans="1:1" ht="15.75" customHeight="1" x14ac:dyDescent="0.3">
      <c r="A465" s="1" t="str">
        <f ca="1">IFERROR(__xludf.DUMMYFUNCTION("ARRAYFORMULA(GOOGLETRANSLATE(A:A, ""auto"", ""fa""))
"),"من میتونم بیارمش پایین.")</f>
        <v>من میتونم بیارمش پایین.</v>
      </c>
    </row>
    <row r="466" spans="1:1" ht="15.75" customHeight="1" x14ac:dyDescent="0.3">
      <c r="A466" s="1" t="str">
        <f ca="1">IFERROR(__xludf.DUMMYFUNCTION("ARRAYFORMULA(GOOGLETRANSLATE(A:A, ""auto"", ""fa""))
"),"این روحیه است. حالا بروید.")</f>
        <v>این روحیه است. حالا بروید.</v>
      </c>
    </row>
    <row r="467" spans="1:1" ht="15.75" customHeight="1" x14ac:dyDescent="0.3">
      <c r="A467" s="1" t="str">
        <f ca="1">IFERROR(__xludf.DUMMYFUNCTION("ARRAYFORMULA(GOOGLETRANSLATE(A:A, ""auto"", ""fa""))
"),"البته، متوجه هستید که ما نمی‌توانیم برای همیشه اسم مستعار را از خودمان دور نگه داریم.")</f>
        <v>البته، متوجه هستید که ما نمی‌توانیم برای همیشه اسم مستعار را از خودمان دور نگه داریم.</v>
      </c>
    </row>
    <row r="468" spans="1:1" ht="15.75" customHeight="1" x14ac:dyDescent="0.3">
      <c r="A468" s="1" t="str">
        <f ca="1">IFERROR(__xludf.DUMMYFUNCTION("ARRAYFORMULA(GOOGLETRANSLATE(A:A, ""auto"", ""fa""))
"),"&lt;font color=""#FF0000""&gt;مک‌گونگال:&lt;/font&gt; خب، این به این معنی نیست که ما نمی‌تونیم اونو معطل کنیم.")</f>
        <v>&lt;font color="#FF0000"&gt;مک‌گونگال:&lt;/font&gt; خب، این به این معنی نیست که ما نمی‌تونیم اونو معطل کنیم.</v>
      </c>
    </row>
    <row r="469" spans="1:1" ht="15.75" customHeight="1" x14ac:dyDescent="0.3">
      <c r="A469" s="1" t="str">
        <f ca="1">IFERROR(__xludf.DUMMYFUNCTION("ARRAYFORMULA(GOOGLETRANSLATE(A:A, ""auto"", ""fa""))
"),"و اسمش ولدمورت است، فیلیوس. بهتر است از آن استفاده کنید.")</f>
        <v>و اسمش ولدمورت است، فیلیوس. بهتر است از آن استفاده کنید.</v>
      </c>
    </row>
    <row r="470" spans="1:1" ht="15.75" customHeight="1" x14ac:dyDescent="0.3">
      <c r="A470" s="1" t="str">
        <f ca="1">IFERROR(__xludf.DUMMYFUNCTION("ARRAYFORMULA(GOOGLETRANSLATE(A:A, ""auto"", ""fa""))
"),"او در هر صورت سعی خواهد کرد تو را بکشد.")</f>
        <v>او در هر صورت سعی خواهد کرد تو را بکشد.</v>
      </c>
    </row>
    <row r="471" spans="1:1" ht="15.75" customHeight="1" x14ac:dyDescent="0.3">
      <c r="A471" s="1" t="str">
        <f ca="1">IFERROR(__xludf.DUMMYFUNCTION("ARRAYFORMULA(GOOGLETRANSLATE(A:A, ""auto"", ""fa""))
"),"پیرتوتوم لوکوموتور.")</f>
        <v>پیرتوتوم لوکوموتور.</v>
      </c>
    </row>
    <row r="472" spans="1:1" ht="15.75" customHeight="1" x14ac:dyDescent="0.3">
      <c r="A472" s="1" t="str">
        <f ca="1">IFERROR(__xludf.DUMMYFUNCTION("ARRAYFORMULA(GOOGLETRANSLATE(A:A, ""auto"", ""fa""))
"),"هاگوارتز در معرض خطر است.")</f>
        <v>هاگوارتز در معرض خطر است.</v>
      </c>
    </row>
    <row r="473" spans="1:1" ht="15.75" customHeight="1" x14ac:dyDescent="0.3">
      <c r="A473" s="1" t="str">
        <f ca="1">IFERROR(__xludf.DUMMYFUNCTION("ARRAYFORMULA(GOOGLETRANSLATE(A:A, ""auto"", ""fa""))
"),"از مرزها محافظت کنید. از ما محافظت کنید. وظیفه خود را در قبال مدرسه ما انجام دهید.")</f>
        <v>از مرزها محافظت کنید. از ما محافظت کنید. وظیفه خود را در قبال مدرسه ما انجام دهید.</v>
      </c>
    </row>
    <row r="474" spans="1:1" ht="15.75" customHeight="1" x14ac:dyDescent="0.3">
      <c r="A474" s="1" t="str">
        <f ca="1">IFERROR(__xludf.DUMMYFUNCTION("ARRAYFORMULA(GOOGLETRANSLATE(A:A, ""auto"", ""fa""))
"),"من همیشه دوست داشتم از اون طلسم استفاده کنم.")</f>
        <v>من همیشه دوست داشتم از اون طلسم استفاده کنم.</v>
      </c>
    </row>
    <row r="475" spans="1:1" ht="15.75" customHeight="1" x14ac:dyDescent="0.3">
      <c r="A475" s="1" t="str">
        <f ca="1">IFERROR(__xludf.DUMMYFUNCTION("ARRAYFORMULA(GOOGLETRANSLATE(A:A, ""auto"", ""fa""))
"),"من از تو به طور کامل محافظت می‌کنم. من تا نهایت از تو محافظت می‌کنم. من تو را از دشمن دفع می‌کنم.")</f>
        <v>من از تو به طور کامل محافظت می‌کنم. من تا نهایت از تو محافظت می‌کنم. من تو را از دشمن دفع می‌کنم.</v>
      </c>
    </row>
    <row r="476" spans="1:1" ht="15.75" customHeight="1" x14ac:dyDescent="0.3">
      <c r="A476" s="1" t="str">
        <f ca="1">IFERROR(__xludf.DUMMYFUNCTION("ARRAYFORMULA(GOOGLETRANSLATE(A:A, ""auto"", ""fa""))
"),"پروتگو ماکسیما.")</f>
        <v>پروتگو ماکسیما.</v>
      </c>
    </row>
    <row r="477" spans="1:1" ht="15.75" customHeight="1" x14ac:dyDescent="0.3">
      <c r="A477" s="1" t="str">
        <f ca="1">IFERROR(__xludf.DUMMYFUNCTION("ARRAYFORMULA(GOOGLETRANSLATE(A:A, ""auto"", ""fa""))
"),"هری، صبر کن. باید باهات حرف بزنم. لونا، من الان یه کم سرم شلوغه.")</f>
        <v>هری، صبر کن. باید باهات حرف بزنم. لونا، من الان یه کم سرم شلوغه.</v>
      </c>
    </row>
    <row r="478" spans="1:1" ht="15.75" customHeight="1" x14ac:dyDescent="0.3">
      <c r="A478" s="1" t="str">
        <f ca="1">IFERROR(__xludf.DUMMYFUNCTION("ARRAYFORMULA(GOOGLETRANSLATE(A:A, ""auto"", ""fa""))
"),"جایی که میری چیزی پیدا نمی‌کنی. داری وقتت رو تلف می‌کنی.")</f>
        <v>جایی که میری چیزی پیدا نمی‌کنی. داری وقتت رو تلف می‌کنی.</v>
      </c>
    </row>
    <row r="479" spans="1:1" ht="15.75" customHeight="1" x14ac:dyDescent="0.3">
      <c r="A479" s="1" t="str">
        <f ca="1">IFERROR(__xludf.DUMMYFUNCTION("ARRAYFORMULA(GOOGLETRANSLATE(A:A, ""auto"", ""fa""))
"),"ببین، بعداً حرف می‌زنیم، باشه لونا؟ هری.")</f>
        <v>ببین، بعداً حرف می‌زنیم، باشه لونا؟ هری.</v>
      </c>
    </row>
    <row r="480" spans="1:1" ht="15.75" customHeight="1" x14ac:dyDescent="0.3">
      <c r="A480" s="1" t="str">
        <f ca="1">IFERROR(__xludf.DUMMYFUNCTION("ARRAYFORMULA(GOOGLETRANSLATE(A:A, ""auto"", ""fa""))
"),"بعداً.
هری پاتر!")</f>
        <v>بعداً.
هری پاتر!</v>
      </c>
    </row>
    <row r="481" spans="1:1" ht="15.75" customHeight="1" x14ac:dyDescent="0.3">
      <c r="A481" s="1" t="str">
        <f ca="1">IFERROR(__xludf.DUMMYFUNCTION("ARRAYFORMULA(GOOGLETRANSLATE(A:A, ""auto"", ""fa""))
"),"تو همین الان به حرف من گوش کن!")</f>
        <v>تو همین الان به حرف من گوش کن!</v>
      </c>
    </row>
    <row r="482" spans="1:1" ht="15.75" customHeight="1" x14ac:dyDescent="0.3">
      <c r="A482" s="1" t="str">
        <f ca="1">IFERROR(__xludf.DUMMYFUNCTION("ARRAYFORMULA(GOOGLETRANSLATE(A:A, ""auto"", ""fa""))
"),"یادت نیست چو در مورد نیم‌تاج روونا راونولا چی گفت؟")</f>
        <v>یادت نیست چو در مورد نیم‌تاج روونا راونولا چی گفت؟</v>
      </c>
    </row>
    <row r="483" spans="1:1" ht="15.75" customHeight="1" x14ac:dyDescent="0.3">
      <c r="A483" s="1" t="str">
        <f ca="1">IFERROR(__xludf.DUMMYFUNCTION("ARRAYFORMULA(GOOGLETRANSLATE(A:A, ""auto"", ""fa""))
"),"«هیچ آدم زنده‌ای نیست که آن را دیده باشد.»")</f>
        <v>«هیچ آدم زنده‌ای نیست که آن را دیده باشد.»</v>
      </c>
    </row>
    <row r="484" spans="1:1" ht="15.75" customHeight="1" x14ac:dyDescent="0.3">
      <c r="A484" s="1" t="str">
        <f ca="1">IFERROR(__xludf.DUMMYFUNCTION("ARRAYFORMULA(GOOGLETRANSLATE(A:A, ""auto"", ""fa""))
"),"واضحه، نه؟ ما باید با کسی که مرده صحبت کنیم.")</f>
        <v>واضحه، نه؟ ما باید با کسی که مرده صحبت کنیم.</v>
      </c>
    </row>
    <row r="485" spans="1:1" ht="15.75" customHeight="1" x14ac:dyDescent="0.3">
      <c r="A485" s="1" t="str">
        <f ca="1">IFERROR(__xludf.DUMMYFUNCTION("ARRAYFORMULA(GOOGLETRANSLATE(A:A, ""auto"", ""fa""))
"),"خیلی چشمگیر است، نه؟")</f>
        <v>خیلی چشمگیر است، نه؟</v>
      </c>
    </row>
    <row r="486" spans="1:1" ht="15.75" customHeight="1" x14ac:dyDescent="0.3">
      <c r="A486" s="1" t="str">
        <f ca="1">IFERROR(__xludf.DUMMYFUNCTION("ARRAYFORMULA(GOOGLETRANSLATE(A:A, ""auto"", ""fa""))
"),"اگر قرار است پیدایش کنی، آنجا پیدایش خواهی کرد.")</f>
        <v>اگر قرار است پیدایش کنی، آنجا پیدایش خواهی کرد.</v>
      </c>
    </row>
    <row r="487" spans="1:1" ht="15.75" customHeight="1" x14ac:dyDescent="0.3">
      <c r="A487" s="1" t="str">
        <f ca="1">IFERROR(__xludf.DUMMYFUNCTION("ARRAYFORMULA(GOOGLETRANSLATE(A:A, ""auto"", ""fa""))
"),"&lt;font color=""#FF0000""&gt;هری:&lt;/font&gt; نمیای؟
&lt;font color=""#FF0000""&gt;لونا:&lt;/font&gt; نه.")</f>
        <v>&lt;font color="#FF0000"&gt;هری:&lt;/font&gt; نمیای؟
&lt;font color="#FF0000"&gt;لونا:&lt;/font&gt; نه.</v>
      </c>
    </row>
    <row r="488" spans="1:1" ht="15.75" customHeight="1" x14ac:dyDescent="0.3">
      <c r="A488" s="1" t="str">
        <f ca="1">IFERROR(__xludf.DUMMYFUNCTION("ARRAYFORMULA(GOOGLETRANSLATE(A:A, ""auto"", ""fa""))
"),"به نظرم بهتره خودتون دوتایی با هم صحبت کنید.")</f>
        <v>به نظرم بهتره خودتون دوتایی با هم صحبت کنید.</v>
      </c>
    </row>
    <row r="489" spans="1:1" ht="15.75" customHeight="1" x14ac:dyDescent="0.3">
      <c r="A489" s="1" t="str">
        <f ca="1">IFERROR(__xludf.DUMMYFUNCTION("ARRAYFORMULA(GOOGLETRANSLATE(A:A, ""auto"", ""fa""))
"),"اون خیلی خجالتیه.")</f>
        <v>اون خیلی خجالتیه.</v>
      </c>
    </row>
    <row r="490" spans="1:1" ht="15.75" customHeight="1" x14ac:dyDescent="0.3">
      <c r="A490" s="1" t="str">
        <f ca="1">IFERROR(__xludf.DUMMYFUNCTION("ARRAYFORMULA(GOOGLETRANSLATE(A:A, ""auto"", ""fa""))
"),"&lt;font color=""#FF0000""&gt;هری:&lt;/font&gt; تو بانوی خاکستری هستی...")</f>
        <v>&lt;font color="#FF0000"&gt;هری:&lt;/font&gt; تو بانوی خاکستری هستی...</v>
      </c>
    </row>
    <row r="491" spans="1:1" ht="15.75" customHeight="1" x14ac:dyDescent="0.3">
      <c r="A491" s="1" t="str">
        <f ca="1">IFERROR(__xludf.DUMMYFUNCTION("ARRAYFORMULA(GOOGLETRANSLATE(A:A, ""auto"", ""fa""))
"),"... شبح برج ریونکلاو.")</f>
        <v>... شبح برج ریونکلاو.</v>
      </c>
    </row>
    <row r="492" spans="1:1" ht="15.75" customHeight="1" x14ac:dyDescent="0.3">
      <c r="A492" s="1" t="str">
        <f ca="1">IFERROR(__xludf.DUMMYFUNCTION("ARRAYFORMULA(GOOGLETRANSLATE(A:A, ""auto"", ""fa""))
"),"من به آن اسم پاسخ نمی‌دهم.")</f>
        <v>من به آن اسم پاسخ نمی‌دهم.</v>
      </c>
    </row>
    <row r="493" spans="1:1" ht="15.75" customHeight="1" x14ac:dyDescent="0.3">
      <c r="A493" s="1" t="str">
        <f ca="1">IFERROR(__xludf.DUMMYFUNCTION("ARRAYFORMULA(GOOGLETRANSLATE(A:A, ""auto"", ""fa""))
"),"نه، متاسفم، متاسفم. من هلنا هستم، اینطور نیست؟ هلنا ریونکلاو.")</f>
        <v>نه، متاسفم، متاسفم. من هلنا هستم، اینطور نیست؟ هلنا ریونکلاو.</v>
      </c>
    </row>
    <row r="494" spans="1:1" ht="15.75" customHeight="1" x14ac:dyDescent="0.3">
      <c r="A494" s="1" t="str">
        <f ca="1">IFERROR(__xludf.DUMMYFUNCTION("ARRAYFORMULA(GOOGLETRANSLATE(A:A, ""auto"", ""fa""))
"),"دختر روونا.")</f>
        <v>دختر روونا.</v>
      </c>
    </row>
    <row r="495" spans="1:1" ht="15.75" customHeight="1" x14ac:dyDescent="0.3">
      <c r="A495" s="1" t="str">
        <f ca="1">IFERROR(__xludf.DUMMYFUNCTION("ARRAYFORMULA(GOOGLETRANSLATE(A:A, ""auto"", ""fa""))
"),"تو دوست لونا هستی؟")</f>
        <v>تو دوست لونا هستی؟</v>
      </c>
    </row>
    <row r="496" spans="1:1" ht="15.75" customHeight="1" x14ac:dyDescent="0.3">
      <c r="A496" s="1" t="str">
        <f ca="1">IFERROR(__xludf.DUMMYFUNCTION("ARRAYFORMULA(GOOGLETRANSLATE(A:A, ""auto"", ""fa""))
"),"&lt;font color=""#FF0000""&gt;هری:&lt;/font&gt; بله.")</f>
        <v>&lt;font color="#FF0000"&gt;هری:&lt;/font&gt; بله.</v>
      </c>
    </row>
    <row r="497" spans="1:1" ht="15.75" customHeight="1" x14ac:dyDescent="0.3">
      <c r="A497" s="1" t="str">
        <f ca="1">IFERROR(__xludf.DUMMYFUNCTION("ARRAYFORMULA(GOOGLETRANSLATE(A:A, ""auto"", ""fa""))
"),"و او فکر کرد که تو شاید بتوانی به من کمک کنی.")</f>
        <v>و او فکر کرد که تو شاید بتوانی به من کمک کنی.</v>
      </c>
    </row>
    <row r="498" spans="1:1" ht="15.75" customHeight="1" x14ac:dyDescent="0.3">
      <c r="A498" s="1" t="str">
        <f ca="1">IFERROR(__xludf.DUMMYFUNCTION("ARRAYFORMULA(GOOGLETRANSLATE(A:A, ""auto"", ""fa""))
"),"تو دنبال نیم‌تاج مادرم می‌گردی.")</f>
        <v>تو دنبال نیم‌تاج مادرم می‌گردی.</v>
      </c>
    </row>
    <row r="499" spans="1:1" ht="15.75" customHeight="1" x14ac:dyDescent="0.3">
      <c r="A499" s="1" t="str">
        <f ca="1">IFERROR(__xludf.DUMMYFUNCTION("ARRAYFORMULA(GOOGLETRANSLATE(A:A, ""auto"", ""fa""))
"),"بله.")</f>
        <v>بله.</v>
      </c>
    </row>
    <row r="500" spans="1:1" ht="15.75" customHeight="1" x14ac:dyDescent="0.3">
      <c r="A500" s="1" t="str">
        <f ca="1">IFERROR(__xludf.DUMMYFUNCTION("ARRAYFORMULA(GOOGLETRANSLATE(A:A, ""auto"", ""fa""))
"),"درست است.")</f>
        <v>درست است.</v>
      </c>
    </row>
    <row r="501" spans="1:1" ht="15.75" customHeight="1" x14ac:dyDescent="0.3">
      <c r="A501" s="1" t="str">
        <f ca="1">IFERROR(__xludf.DUMMYFUNCTION("ARRAYFORMULA(GOOGLETRANSLATE(A:A, ""auto"", ""fa""))
"),"لونا برخلاف خیلی‌های دیگر مهربان است.")</f>
        <v>لونا برخلاف خیلی‌های دیگر مهربان است.</v>
      </c>
    </row>
    <row r="502" spans="1:1" ht="15.75" customHeight="1" x14ac:dyDescent="0.3">
      <c r="A502" s="1" t="str">
        <f ca="1">IFERROR(__xludf.DUMMYFUNCTION("ARRAYFORMULA(GOOGLETRANSLATE(A:A, ""auto"", ""fa""))
"),"اما او اشتباه می‌کرد. من نمی‌توانم کمکی به تو بکنم.")</f>
        <v>اما او اشتباه می‌کرد. من نمی‌توانم کمکی به تو بکنم.</v>
      </c>
    </row>
    <row r="503" spans="1:1" ht="15.75" customHeight="1" x14ac:dyDescent="0.3">
      <c r="A503" s="1" t="str">
        <f ca="1">IFERROR(__xludf.DUMMYFUNCTION("ARRAYFORMULA(GOOGLETRANSLATE(A:A, ""auto"", ""fa""))
"),"صبر کن. لطفا.")</f>
        <v>صبر کن. لطفا.</v>
      </c>
    </row>
    <row r="504" spans="1:1" ht="15.75" customHeight="1" x14ac:dyDescent="0.3">
      <c r="A504" s="1" t="str">
        <f ca="1">IFERROR(__xludf.DUMMYFUNCTION("ARRAYFORMULA(GOOGLETRANSLATE(A:A, ""auto"", ""fa""))
"),"می‌خواهم آن را نابود کنم.")</f>
        <v>می‌خواهم آن را نابود کنم.</v>
      </c>
    </row>
    <row r="505" spans="1:1" ht="15.75" customHeight="1" x14ac:dyDescent="0.3">
      <c r="A505" s="1" t="str">
        <f ca="1">IFERROR(__xludf.DUMMYFUNCTION("ARRAYFORMULA(GOOGLETRANSLATE(A:A, ""auto"", ""fa""))
"),"&lt;font color=""#FFFF00""&gt;(ولدمورت ریزریز می‌خندد)&lt;/font&gt;")</f>
        <v>&lt;font color="#FFFF00"&gt;(ولدمورت ریزریز می‌خندد)&lt;/font&gt;</v>
      </c>
    </row>
    <row r="506" spans="1:1" ht="15.75" customHeight="1" x14ac:dyDescent="0.3">
      <c r="A506" s="1" t="str">
        <f ca="1">IFERROR(__xludf.DUMMYFUNCTION("ARRAYFORMULA(GOOGLETRANSLATE(A:A, ""auto"", ""fa""))
"),"&lt;font color=""#FF0000""&gt;ولدمورت:&lt;/font&gt; اونا هیچوقت درس نمیگیرن.")</f>
        <v>&lt;font color="#FF0000"&gt;ولدمورت:&lt;/font&gt; اونا هیچوقت درس نمیگیرن.</v>
      </c>
    </row>
    <row r="507" spans="1:1" ht="15.75" customHeight="1" x14ac:dyDescent="0.3">
      <c r="A507" s="1" t="str">
        <f ca="1">IFERROR(__xludf.DUMMYFUNCTION("ARRAYFORMULA(GOOGLETRANSLATE(A:A, ""auto"", ""fa""))
"),"چه حیف.")</f>
        <v>چه حیف.</v>
      </c>
    </row>
    <row r="508" spans="1:1" ht="15.75" customHeight="1" x14ac:dyDescent="0.3">
      <c r="A508" s="1" t="str">
        <f ca="1">IFERROR(__xludf.DUMMYFUNCTION("ARRAYFORMULA(GOOGLETRANSLATE(A:A, ""auto"", ""fa""))
"),"اما، پروردگارا...")</f>
        <v>اما، پروردگارا...</v>
      </c>
    </row>
    <row r="509" spans="1:1" ht="15.75" customHeight="1" x14ac:dyDescent="0.3">
      <c r="A509" s="1" t="str">
        <f ca="1">IFERROR(__xludf.DUMMYFUNCTION("ARRAYFORMULA(GOOGLETRANSLATE(A:A, ""auto"", ""fa""))
"),"...نباید منتظر ... باشیم؟")</f>
        <v>...نباید منتظر ... باشیم؟</v>
      </c>
    </row>
    <row r="510" spans="1:1" ht="15.75" customHeight="1" x14ac:dyDescent="0.3">
      <c r="A510" s="1" t="str">
        <f ca="1">IFERROR(__xludf.DUMMYFUNCTION("ARRAYFORMULA(GOOGLETRANSLATE(A:A, ""auto"", ""fa""))
"),"پروردگارا!")</f>
        <v>پروردگارا!</v>
      </c>
    </row>
    <row r="511" spans="1:1" ht="15.75" customHeight="1" x14ac:dyDescent="0.3">
      <c r="A511" s="1" t="str">
        <f ca="1">IFERROR(__xludf.DUMMYFUNCTION("ARRAYFORMULA(GOOGLETRANSLATE(A:A, ""auto"", ""fa""))
"),"شروع کن.")</f>
        <v>شروع کن.</v>
      </c>
    </row>
    <row r="512" spans="1:1" ht="15.75" customHeight="1" x14ac:dyDescent="0.3">
      <c r="A512" s="1" t="str">
        <f ca="1">IFERROR(__xludf.DUMMYFUNCTION("ARRAYFORMULA(GOOGLETRANSLATE(A:A, ""auto"", ""fa""))
"),"&lt;font color=""#FFFF00""&gt;(غرش)&lt;/font&gt;")</f>
        <v>&lt;font color="#FFFF00"&gt;(غرش)&lt;/font&gt;</v>
      </c>
    </row>
    <row r="513" spans="1:1" ht="15.75" customHeight="1" x14ac:dyDescent="0.3">
      <c r="A513" s="1" t="str">
        <f ca="1">IFERROR(__xludf.DUMMYFUNCTION("ARRAYFORMULA(GOOGLETRANSLATE(A:A, ""auto"", ""fa""))
"),"تو هم همینو می‌خوای، مگه نه هلنا؟")</f>
        <v>تو هم همینو می‌خوای، مگه نه هلنا؟</v>
      </c>
    </row>
    <row r="514" spans="1:1" ht="15.75" customHeight="1" x14ac:dyDescent="0.3">
      <c r="A514" s="1" t="str">
        <f ca="1">IFERROR(__xludf.DUMMYFUNCTION("ARRAYFORMULA(GOOGLETRANSLATE(A:A, ""auto"", ""fa""))
"),"می‌خواهی نابودش کنی.")</f>
        <v>می‌خواهی نابودش کنی.</v>
      </c>
    </row>
    <row r="515" spans="1:1" ht="15.75" customHeight="1" x14ac:dyDescent="0.3">
      <c r="A515" s="1" t="str">
        <f ca="1">IFERROR(__xludf.DUMMYFUNCTION("ARRAYFORMULA(GOOGLETRANSLATE(A:A, ""auto"", ""fa""))
"),"یکی دیگر سال‌ها پیش قسم خورد که آن را نابود کند...")</f>
        <v>یکی دیگر سال‌ها پیش قسم خورد که آن را نابود کند...</v>
      </c>
    </row>
    <row r="516" spans="1:1" ht="15.75" customHeight="1" x14ac:dyDescent="0.3">
      <c r="A516" s="1" t="str">
        <f ca="1">IFERROR(__xludf.DUMMYFUNCTION("ARRAYFORMULA(GOOGLETRANSLATE(A:A, ""auto"", ""fa""))
"),"... یه پسر عجیب با یه اسم عجیب تر.")</f>
        <v>... یه پسر عجیب با یه اسم عجیب تر.</v>
      </c>
    </row>
    <row r="517" spans="1:1" ht="15.75" customHeight="1" x14ac:dyDescent="0.3">
      <c r="A517" s="1" t="str">
        <f ca="1">IFERROR(__xludf.DUMMYFUNCTION("ARRAYFORMULA(GOOGLETRANSLATE(A:A, ""auto"", ""fa""))
"),"تام ریدل. اما او دروغ گفت.")</f>
        <v>تام ریدل. اما او دروغ گفت.</v>
      </c>
    </row>
    <row r="518" spans="1:1" ht="15.75" customHeight="1" x14ac:dyDescent="0.3">
      <c r="A518" s="1" t="str">
        <f ca="1">IFERROR(__xludf.DUMMYFUNCTION("ARRAYFORMULA(GOOGLETRANSLATE(A:A, ""auto"", ""fa""))
"),"او به خیلی‌ها دروغ گفته است.")</f>
        <v>او به خیلی‌ها دروغ گفته است.</v>
      </c>
    </row>
    <row r="519" spans="1:1" ht="15.75" customHeight="1" x14ac:dyDescent="0.3">
      <c r="A519" s="1" t="str">
        <f ca="1">IFERROR(__xludf.DUMMYFUNCTION("ARRAYFORMULA(GOOGLETRANSLATE(A:A, ""auto"", ""fa""))
"),"من می‌دانم او چه کار کرده است! من می‌دانم او کیست!")</f>
        <v>من می‌دانم او چه کار کرده است! من می‌دانم او کیست!</v>
      </c>
    </row>
    <row r="520" spans="1:1" ht="15.75" customHeight="1" x14ac:dyDescent="0.3">
      <c r="A520" s="1" t="str">
        <f ca="1">IFERROR(__xludf.DUMMYFUNCTION("ARRAYFORMULA(GOOGLETRANSLATE(A:A, ""auto"", ""fa""))
"),"او آن را با جادوی سیاه آلوده کرد!")</f>
        <v>او آن را با جادوی سیاه آلوده کرد!</v>
      </c>
    </row>
    <row r="521" spans="1:1" ht="15.75" customHeight="1" x14ac:dyDescent="0.3">
      <c r="A521" s="1" t="str">
        <f ca="1">IFERROR(__xludf.DUMMYFUNCTION("ARRAYFORMULA(GOOGLETRANSLATE(A:A, ""auto"", ""fa""))
"),"&lt;font color=""#FF0000""&gt;هری:&lt;/font&gt; من می‌تونم یه بار برای همیشه نابودش کنم.")</f>
        <v>&lt;font color="#FF0000"&gt;هری:&lt;/font&gt; من می‌تونم یه بار برای همیشه نابودش کنم.</v>
      </c>
    </row>
    <row r="522" spans="1:1" ht="15.75" customHeight="1" x14ac:dyDescent="0.3">
      <c r="A522" s="1" t="str">
        <f ca="1">IFERROR(__xludf.DUMMYFUNCTION("ARRAYFORMULA(GOOGLETRANSLATE(A:A, ""auto"", ""fa""))
"),"اما فقط به شرطی که بهم بگی کجا قایمش کرده.")</f>
        <v>اما فقط به شرطی که بهم بگی کجا قایمش کرده.</v>
      </c>
    </row>
    <row r="523" spans="1:1" ht="15.75" customHeight="1" x14ac:dyDescent="0.3">
      <c r="A523" s="1" t="str">
        <f ca="1">IFERROR(__xludf.DUMMYFUNCTION("ARRAYFORMULA(GOOGLETRANSLATE(A:A, ""auto"", ""fa""))
"),"تو که می‌دانی کجا قایمش کرده، مگر نه هلنا؟")</f>
        <v>تو که می‌دانی کجا قایمش کرده، مگر نه هلنا؟</v>
      </c>
    </row>
    <row r="524" spans="1:1" ht="15.75" customHeight="1" x14ac:dyDescent="0.3">
      <c r="A524" s="1" t="str">
        <f ca="1">IFERROR(__xludf.DUMMYFUNCTION("ARRAYFORMULA(GOOGLETRANSLATE(A:A, ""auto"", ""fa""))
"),"فقط باید بهم بگی.")</f>
        <v>فقط باید بهم بگی.</v>
      </c>
    </row>
    <row r="525" spans="1:1" ht="15.75" customHeight="1" x14ac:dyDescent="0.3">
      <c r="A525" s="1" t="str">
        <f ca="1">IFERROR(__xludf.DUMMYFUNCTION("ARRAYFORMULA(GOOGLETRANSLATE(A:A, ""auto"", ""fa""))
"),"خواهش می‌کنم.")</f>
        <v>خواهش می‌کنم.</v>
      </c>
    </row>
    <row r="526" spans="1:1" ht="15.75" customHeight="1" x14ac:dyDescent="0.3">
      <c r="A526" s="1" t="str">
        <f ca="1">IFERROR(__xludf.DUMMYFUNCTION("ARRAYFORMULA(GOOGLETRANSLATE(A:A, ""auto"", ""fa""))
"),"عجیب و غریب.")</f>
        <v>عجیب و غریب.</v>
      </c>
    </row>
    <row r="527" spans="1:1" ht="15.75" customHeight="1" x14ac:dyDescent="0.3">
      <c r="A527" s="1" t="str">
        <f ca="1">IFERROR(__xludf.DUMMYFUNCTION("ARRAYFORMULA(GOOGLETRANSLATE(A:A, ""auto"", ""fa""))
"),"تو یه جورایی منو یاد اون میندازی.")</f>
        <v>تو یه جورایی منو یاد اون میندازی.</v>
      </c>
    </row>
    <row r="528" spans="1:1" ht="15.75" customHeight="1" x14ac:dyDescent="0.3">
      <c r="A528" s="1" t="str">
        <f ca="1">IFERROR(__xludf.DUMMYFUNCTION("ARRAYFORMULA(GOOGLETRANSLATE(A:A, ""auto"", ""fa""))
"),"اینجاست...")</f>
        <v>اینجاست...</v>
      </c>
    </row>
    <row r="529" spans="1:1" ht="15.75" customHeight="1" x14ac:dyDescent="0.3">
      <c r="A529" s="1" t="str">
        <f ca="1">IFERROR(__xludf.DUMMYFUNCTION("ARRAYFORMULA(GOOGLETRANSLATE(A:A, ""auto"", ""fa""))
"),"...در قلعه، در مکانی که همه چیز پنهان است.")</f>
        <v>...در قلعه، در مکانی که همه چیز پنهان است.</v>
      </c>
    </row>
    <row r="530" spans="1:1" ht="15.75" customHeight="1" x14ac:dyDescent="0.3">
      <c r="A530" s="1" t="str">
        <f ca="1">IFERROR(__xludf.DUMMYFUNCTION("ARRAYFORMULA(GOOGLETRANSLATE(A:A, ""auto"", ""fa""))
"),"اگر مجبورید بپرسید...")</f>
        <v>اگر مجبورید بپرسید...</v>
      </c>
    </row>
    <row r="531" spans="1:1" ht="15.75" customHeight="1" x14ac:dyDescent="0.3">
      <c r="A531" s="1" t="str">
        <f ca="1">IFERROR(__xludf.DUMMYFUNCTION("ARRAYFORMULA(GOOGLETRANSLATE(A:A, ""auto"", ""fa""))
"),"... تو هرگز نخواهی فهمید.")</f>
        <v>... تو هرگز نخواهی فهمید.</v>
      </c>
    </row>
    <row r="532" spans="1:1" ht="15.75" customHeight="1" x14ac:dyDescent="0.3">
      <c r="A532" s="1" t="str">
        <f ca="1">IFERROR(__xludf.DUMMYFUNCTION("ARRAYFORMULA(GOOGLETRANSLATE(A:A, ""auto"", ""fa""))
"),"اگر می‌دانید، فقط کافی است بپرسید.")</f>
        <v>اگر می‌دانید، فقط کافی است بپرسید.</v>
      </c>
    </row>
    <row r="533" spans="1:1" ht="15.75" customHeight="1" x14ac:dyDescent="0.3">
      <c r="A533" s="1" t="str">
        <f ca="1">IFERROR(__xludf.DUMMYFUNCTION("ARRAYFORMULA(GOOGLETRANSLATE(A:A, ""auto"", ""fa""))
"),"متشکرم.")</f>
        <v>متشکرم.</v>
      </c>
    </row>
    <row r="534" spans="1:1" ht="15.75" customHeight="1" x14ac:dyDescent="0.3">
      <c r="A534" s="1" t="str">
        <f ca="1">IFERROR(__xludf.DUMMYFUNCTION("ARRAYFORMULA(GOOGLETRANSLATE(A:A, ""auto"", ""fa""))
"),"&lt;font color=""#FFFF00""&gt;(شلوغ دانش‌آموزان)&lt;/font&gt;")</f>
        <v>&lt;font color="#FFFF00"&gt;(شلوغ دانش‌آموزان)&lt;/font&gt;</v>
      </c>
    </row>
    <row r="535" spans="1:1" ht="15.75" customHeight="1" x14ac:dyDescent="0.3">
      <c r="A535" s="1" t="str">
        <f ca="1">IFERROR(__xludf.DUMMYFUNCTION("ARRAYFORMULA(GOOGLETRANSLATE(A:A, ""auto"", ""fa""))
"),"به پروفسور مک‌گوناگل بگو ریموس... من این سمت قلعه رو اداره می‌کنم.")</f>
        <v>به پروفسور مک‌گوناگل بگو ریموس... من این سمت قلعه رو اداره می‌کنم.</v>
      </c>
    </row>
    <row r="536" spans="1:1" ht="15.75" customHeight="1" x14ac:dyDescent="0.3">
      <c r="A536" s="1" t="str">
        <f ca="1">IFERROR(__xludf.DUMMYFUNCTION("ARRAYFORMULA(GOOGLETRANSLATE(A:A, ""auto"", ""fa""))
"),"بله، قربان.")</f>
        <v>بله، قربان.</v>
      </c>
    </row>
    <row r="537" spans="1:1" ht="15.75" customHeight="1" x14ac:dyDescent="0.3">
      <c r="A537" s="1" t="str">
        <f ca="1">IFERROR(__xludf.DUMMYFUNCTION("ARRAYFORMULA(GOOGLETRANSLATE(A:A, ""auto"", ""fa""))
"),"&lt;font color=""#FF0000""&gt;شکلبولت:&lt;/font&gt; هی، دین، یه لحظه فکر کن، به پروفسور مک‌گونگال بگو...")</f>
        <v>&lt;font color="#FF0000"&gt;شکلبولت:&lt;/font&gt; هی، دین، یه لحظه فکر کن، به پروفسور مک‌گونگال بگو...</v>
      </c>
    </row>
    <row r="538" spans="1:1" ht="15.75" customHeight="1" x14ac:dyDescent="0.3">
      <c r="A538" s="1" t="str">
        <f ca="1">IFERROR(__xludf.DUMMYFUNCTION("ARRAYFORMULA(GOOGLETRANSLATE(A:A, ""auto"", ""fa""))
"),"... شاید این طرف به یک یا دو چوبدستی دیگر نیاز داشته باشیم.")</f>
        <v>... شاید این طرف به یک یا دو چوبدستی دیگر نیاز داشته باشیم.</v>
      </c>
    </row>
    <row r="539" spans="1:1" ht="15.75" customHeight="1" x14ac:dyDescent="0.3">
      <c r="A539" s="1" t="str">
        <f ca="1">IFERROR(__xludf.DUMMYFUNCTION("ARRAYFORMULA(GOOGLETRANSLATE(A:A, ""auto"", ""fa""))
"),"&lt;font color=""#FF0000""&gt;رموس:&lt;/font&gt; این کیفیت اعتقادات یک نفر است که موفقیت را تعیین می‌کند...")</f>
        <v>&lt;font color="#FF0000"&gt;رموس:&lt;/font&gt; این کیفیت اعتقادات یک نفر است که موفقیت را تعیین می‌کند...</v>
      </c>
    </row>
    <row r="540" spans="1:1" ht="15.75" customHeight="1" x14ac:dyDescent="0.3">
      <c r="A540" s="1" t="str">
        <f ca="1">IFERROR(__xludf.DUMMYFUNCTION("ARRAYFORMULA(GOOGLETRANSLATE(A:A, ""auto"", ""fa""))
"),"... نه تعداد دنبال‌کنندگان.")</f>
        <v>... نه تعداد دنبال‌کنندگان.</v>
      </c>
    </row>
    <row r="541" spans="1:1" ht="15.75" customHeight="1" x14ac:dyDescent="0.3">
      <c r="A541" s="1" t="str">
        <f ca="1">IFERROR(__xludf.DUMMYFUNCTION("ARRAYFORMULA(GOOGLETRANSLATE(A:A, ""auto"", ""fa""))
"),"کی اینو گفته؟")</f>
        <v>کی اینو گفته؟</v>
      </c>
    </row>
    <row r="542" spans="1:1" ht="15.75" customHeight="1" x14ac:dyDescent="0.3">
      <c r="A542" s="1" t="str">
        <f ca="1">IFERROR(__xludf.DUMMYFUNCTION("ARRAYFORMULA(GOOGLETRANSLATE(A:A, ""auto"", ""fa""))
"),"من.")</f>
        <v>من.</v>
      </c>
    </row>
    <row r="543" spans="1:1" ht="15.75" customHeight="1" x14ac:dyDescent="0.3">
      <c r="A543" s="1" t="str">
        <f ca="1">IFERROR(__xludf.DUMMYFUNCTION("ARRAYFORMULA(GOOGLETRANSLATE(A:A, ""auto"", ""fa""))
"),"حالت خوبه، فردی؟")</f>
        <v>حالت خوبه، فردی؟</v>
      </c>
    </row>
    <row r="544" spans="1:1" ht="15.75" customHeight="1" x14ac:dyDescent="0.3">
      <c r="A544" s="1" t="str">
        <f ca="1">IFERROR(__xludf.DUMMYFUNCTION("ARRAYFORMULA(GOOGLETRANSLATE(A:A, ""auto"", ""fa""))
"),"آره.")</f>
        <v>آره.</v>
      </c>
    </row>
    <row r="545" spans="1:1" ht="15.75" customHeight="1" x14ac:dyDescent="0.3">
      <c r="A545" s="1" t="str">
        <f ca="1">IFERROR(__xludf.DUMMYFUNCTION("ARRAYFORMULA(GOOGLETRANSLATE(A:A, ""auto"", ""fa""))
"),"من هم همینطور.")</f>
        <v>من هم همینطور.</v>
      </c>
    </row>
    <row r="546" spans="1:1" ht="15.75" customHeight="1" x14ac:dyDescent="0.3">
      <c r="A546" s="1" t="str">
        <f ca="1">IFERROR(__xludf.DUMMYFUNCTION("ARRAYFORMULA(GOOGLETRANSLATE(A:A, ""auto"", ""fa""))
"),"&lt;font color=""#FFFF00""&gt;(به زبان پارسی صحبت می‌کنم)&lt;/font&gt;")</f>
        <v>&lt;font color="#FFFF00"&gt;(به زبان پارسی صحبت می‌کنم)&lt;/font&gt;</v>
      </c>
    </row>
    <row r="547" spans="1:1" ht="15.75" customHeight="1" x14ac:dyDescent="0.3">
      <c r="A547" s="1" t="str">
        <f ca="1">IFERROR(__xludf.DUMMYFUNCTION("ARRAYFORMULA(GOOGLETRANSLATE(A:A, ""auto"", ""fa""))
"),"هری تو خواب حرف میزنه. متوجه شدی؟")</f>
        <v>هری تو خواب حرف میزنه. متوجه شدی؟</v>
      </c>
    </row>
    <row r="548" spans="1:1" ht="15.75" customHeight="1" x14ac:dyDescent="0.3">
      <c r="A548" s="1" t="str">
        <f ca="1">IFERROR(__xludf.DUMMYFUNCTION("ARRAYFORMULA(GOOGLETRANSLATE(A:A, ""auto"", ""fa""))
"),"نه، البته که نه.")</f>
        <v>نه، البته که نه.</v>
      </c>
    </row>
    <row r="549" spans="1:1" ht="15.75" customHeight="1" x14ac:dyDescent="0.3">
      <c r="A549" s="1" t="str">
        <f ca="1">IFERROR(__xludf.DUMMYFUNCTION("ARRAYFORMULA(GOOGLETRANSLATE(A:A, ""auto"", ""fa""))
"),"&lt;font color=""#FFFF00""&gt;(فریاد و جیغ از دوردست)&lt;/font&gt;")</f>
        <v>&lt;font color="#FFFF00"&gt;(فریاد و جیغ از دوردست)&lt;/font&gt;</v>
      </c>
    </row>
    <row r="550" spans="1:1" ht="15.75" customHeight="1" x14ac:dyDescent="0.3">
      <c r="A550" s="1" t="str">
        <f ca="1">IFERROR(__xludf.DUMMYFUNCTION("ARRAYFORMULA(GOOGLETRANSLATE(A:A, ""auto"", ""fa""))
"),"آره؟")</f>
        <v>آره؟</v>
      </c>
    </row>
    <row r="551" spans="1:1" ht="15.75" customHeight="1" x14ac:dyDescent="0.3">
      <c r="A551" s="1" t="str">
        <f ca="1">IFERROR(__xludf.DUMMYFUNCTION("ARRAYFORMULA(GOOGLETRANSLATE(A:A, ""auto"", ""fa""))
"),"تو و ارتش کی؟")</f>
        <v>تو و ارتش کی؟</v>
      </c>
    </row>
    <row r="552" spans="1:1" ht="15.75" customHeight="1" x14ac:dyDescent="0.3">
      <c r="A552" s="1" t="str">
        <f ca="1">IFERROR(__xludf.DUMMYFUNCTION("ARRAYFORMULA(GOOGLETRANSLATE(A:A, ""auto"", ""fa""))
"),"تو انجامش بده. من نمی‌تونم.")</f>
        <v>تو انجامش بده. من نمی‌تونم.</v>
      </c>
    </row>
    <row r="553" spans="1:1" ht="15.75" customHeight="1" x14ac:dyDescent="0.3">
      <c r="A553" s="1" t="str">
        <f ca="1">IFERROR(__xludf.DUMMYFUNCTION("ARRAYFORMULA(GOOGLETRANSLATE(A:A, ""auto"", ""fa""))
"),"بله، می‌توانید.")</f>
        <v>بله، می‌توانید.</v>
      </c>
    </row>
    <row r="554" spans="1:1" ht="15.75" customHeight="1" x14ac:dyDescent="0.3">
      <c r="A554" s="1" t="str">
        <f ca="1">IFERROR(__xludf.DUMMYFUNCTION("ARRAYFORMULA(GOOGLETRANSLATE(A:A, ""auto"", ""fa""))
"),"&lt;font color=""#FFFF00""&gt;(فریاد)&lt;/font&gt;")</f>
        <v>&lt;font color="#FFFF00"&gt;(فریاد)&lt;/font&gt;</v>
      </c>
    </row>
    <row r="555" spans="1:1" ht="15.75" customHeight="1" x14ac:dyDescent="0.3">
      <c r="A555" s="1" t="str">
        <f ca="1">IFERROR(__xludf.DUMMYFUNCTION("ARRAYFORMULA(GOOGLETRANSLATE(A:A, ""auto"", ""fa""))
"),"&lt;font color=""#FFFF00""&gt;(نفس عمیق)&lt;/font&gt;")</f>
        <v>&lt;font color="#FFFF00"&gt;(نفس عمیق)&lt;/font&gt;</v>
      </c>
    </row>
    <row r="556" spans="1:1" ht="15.75" customHeight="1" x14ac:dyDescent="0.3">
      <c r="A556" s="1" t="str">
        <f ca="1">IFERROR(__xludf.DUMMYFUNCTION("ARRAYFORMULA(GOOGLETRANSLATE(A:A, ""auto"", ""fa""))
"),"&lt;font color=""#FFFF00""&gt;(هر دو می‌خندند)&lt;/font&gt;")</f>
        <v>&lt;font color="#FFFF00"&gt;(هر دو می‌خندند)&lt;/font&gt;</v>
      </c>
    </row>
    <row r="557" spans="1:1" ht="15.75" customHeight="1" x14ac:dyDescent="0.3">
      <c r="A557" s="1" t="str">
        <f ca="1">IFERROR(__xludf.DUMMYFUNCTION("ARRAYFORMULA(GOOGLETRANSLATE(A:A, ""auto"", ""fa""))
"),"&lt;font color=""#FFFF00""&gt;(WAILS)&lt;/font&gt;")</f>
        <v>&lt;font color="#FFFF00"&gt;(WAILS)&lt;/font&gt;</v>
      </c>
    </row>
    <row r="558" spans="1:1" ht="15.75" customHeight="1" x14ac:dyDescent="0.3">
      <c r="A558" s="1" t="str">
        <f ca="1">IFERROR(__xludf.DUMMYFUNCTION("ARRAYFORMULA(GOOGLETRANSLATE(A:A, ""auto"", ""fa""))
"),"&lt;font color=""#FFFF00""&gt;(غرش)&lt;/font&gt;")</f>
        <v>&lt;font color="#FFFF00"&gt;(غرش)&lt;/font&gt;</v>
      </c>
    </row>
    <row r="559" spans="1:1" ht="15.75" customHeight="1" x14ac:dyDescent="0.3">
      <c r="A559" s="1" t="str">
        <f ca="1">IFERROR(__xludf.DUMMYFUNCTION("ARRAYFORMULA(GOOGLETRANSLATE(A:A, ""auto"", ""fa""))
"),"&lt;font color=""#FFFF00""&gt;(غرغرها)&lt;/font&gt;")</f>
        <v>&lt;font color="#FFFF00"&gt;(غرغرها)&lt;/font&gt;</v>
      </c>
    </row>
    <row r="560" spans="1:1" ht="15.75" customHeight="1" x14ac:dyDescent="0.3">
      <c r="A560" s="1" t="str">
        <f ca="1">IFERROR(__xludf.DUMMYFUNCTION("ARRAYFORMULA(GOOGLETRANSLATE(A:A, ""auto"", ""fa""))
"),"&lt;font color=""#FFFF00""&gt;(فریاد)&lt;/font&gt;")</f>
        <v>&lt;font color="#FFFF00"&gt;(فریاد)&lt;/font&gt;</v>
      </c>
    </row>
    <row r="561" spans="1:1" ht="15.75" customHeight="1" x14ac:dyDescent="0.3">
      <c r="A561" s="1" t="str">
        <f ca="1">IFERROR(__xludf.DUMMYFUNCTION("ARRAYFORMULA(GOOGLETRANSLATE(A:A, ""auto"", ""fa""))
"),"&lt;font color=""#FF0000""&gt;جینی:&lt;/font&gt; نویل!")</f>
        <v>&lt;font color="#FF0000"&gt;جینی:&lt;/font&gt; نویل!</v>
      </c>
    </row>
    <row r="562" spans="1:1" ht="15.75" customHeight="1" x14ac:dyDescent="0.3">
      <c r="A562" s="1" t="str">
        <f ca="1">IFERROR(__xludf.DUMMYFUNCTION("ARRAYFORMULA(GOOGLETRANSLATE(A:A, ""auto"", ""fa""))
"),"&lt;font color=""#FFFF00""&gt;(نفس نفس زدن)&lt;/font&gt;")</f>
        <v>&lt;font color="#FFFF00"&gt;(نفس نفس زدن)&lt;/font&gt;</v>
      </c>
    </row>
    <row r="563" spans="1:1" ht="15.75" customHeight="1" x14ac:dyDescent="0.3">
      <c r="A563" s="1" t="str">
        <f ca="1">IFERROR(__xludf.DUMMYFUNCTION("ARRAYFORMULA(GOOGLETRANSLATE(A:A, ""auto"", ""fa""))
"),"که خوب پیش رفت.")</f>
        <v>که خوب پیش رفت.</v>
      </c>
    </row>
    <row r="564" spans="1:1" ht="15.75" customHeight="1" x14ac:dyDescent="0.3">
      <c r="A564" s="1" t="str">
        <f ca="1">IFERROR(__xludf.DUMMYFUNCTION("ARRAYFORMULA(GOOGLETRANSLATE(A:A, ""auto"", ""fa""))
"),"&lt;font color=""#FF0000""&gt;مک‌گونگال:&lt;/font&gt; برید داخل! همه از این طرف. پناه بگیرید!")</f>
        <v>&lt;font color="#FF0000"&gt;مک‌گونگال:&lt;/font&gt; برید داخل! همه از این طرف. پناه بگیرید!</v>
      </c>
    </row>
    <row r="565" spans="1:1" ht="15.75" customHeight="1" x14ac:dyDescent="0.3">
      <c r="A565" s="1" t="str">
        <f ca="1">IFERROR(__xludf.DUMMYFUNCTION("ARRAYFORMULA(GOOGLETRANSLATE(A:A, ""auto"", ""fa""))
"),"&lt;font color=""#FFFF00""&gt;(جیغ)&lt;/font&gt;")</f>
        <v>&lt;font color="#FFFF00"&gt;(جیغ)&lt;/font&gt;</v>
      </c>
    </row>
    <row r="566" spans="1:1" ht="15.75" customHeight="1" x14ac:dyDescent="0.3">
      <c r="A566" s="1" t="str">
        <f ca="1">IFERROR(__xludf.DUMMYFUNCTION("ARRAYFORMULA(GOOGLETRANSLATE(A:A, ""auto"", ""fa""))
"),"&lt;font color=""#FF0000""&gt;هری:&lt;/font&gt; احمق!")</f>
        <v>&lt;font color="#FF0000"&gt;هری:&lt;/font&gt; احمق!</v>
      </c>
    </row>
    <row r="567" spans="1:1" ht="15.75" customHeight="1" x14ac:dyDescent="0.3">
      <c r="A567" s="1" t="str">
        <f ca="1">IFERROR(__xludf.DUMMYFUNCTION("ARRAYFORMULA(GOOGLETRANSLATE(A:A, ""auto"", ""fa""))
"),"کتت را بپوش!")</f>
        <v>کتت را بپوش!</v>
      </c>
    </row>
    <row r="568" spans="1:1" ht="15.75" customHeight="1" x14ac:dyDescent="0.3">
      <c r="A568" s="1" t="str">
        <f ca="1">IFERROR(__xludf.DUMMYFUNCTION("ARRAYFORMULA(GOOGLETRANSLATE(A:A, ""auto"", ""fa""))
"),"جینی. نویل. حالت خوبه؟")</f>
        <v>جینی. نویل. حالت خوبه؟</v>
      </c>
    </row>
    <row r="569" spans="1:1" ht="15.75" customHeight="1" x14ac:dyDescent="0.3">
      <c r="A569" s="1" t="str">
        <f ca="1">IFERROR(__xludf.DUMMYFUNCTION("ARRAYFORMULA(GOOGLETRANSLATE(A:A, ""auto"", ""fa""))
"),"هیچ‌وقت بهتر از این نمی‌شه. حس می‌کنم می‌تونم آتیش به پا کنم. لونا رو ندیدی، نه؟")</f>
        <v>هیچ‌وقت بهتر از این نمی‌شه. حس می‌کنم می‌تونم آتیش به پا کنم. لونا رو ندیدی، نه؟</v>
      </c>
    </row>
    <row r="570" spans="1:1" ht="15.75" customHeight="1" x14ac:dyDescent="0.3">
      <c r="A570" s="1" t="str">
        <f ca="1">IFERROR(__xludf.DUMMYFUNCTION("ARRAYFORMULA(GOOGLETRANSLATE(A:A, ""auto"", ""fa""))
"),"لونا؟ من از دستش عصبانیم!")</f>
        <v>لونا؟ من از دستش عصبانیم!</v>
      </c>
    </row>
    <row r="571" spans="1:1" ht="15.75" customHeight="1" x14ac:dyDescent="0.3">
      <c r="A571" s="1" t="str">
        <f ca="1">IFERROR(__xludf.DUMMYFUNCTION("ARRAYFORMULA(GOOGLETRANSLATE(A:A, ""auto"", ""fa""))
"),"فکر کنم وقتشه بهش بگم، چون احتمالاً تا صبح هر دومون می‌میریم.")</f>
        <v>فکر کنم وقتشه بهش بگم، چون احتمالاً تا صبح هر دومون می‌میریم.</v>
      </c>
    </row>
    <row r="572" spans="1:1" ht="15.75" customHeight="1" x14ac:dyDescent="0.3">
      <c r="A572" s="1" t="str">
        <f ca="1">IFERROR(__xludf.DUMMYFUNCTION("ARRAYFORMULA(GOOGLETRANSLATE(A:A, ""auto"", ""fa""))
"),"من می‌دانم.")</f>
        <v>من می‌دانم.</v>
      </c>
    </row>
    <row r="573" spans="1:1" ht="15.75" customHeight="1" x14ac:dyDescent="0.3">
      <c r="A573" s="1" t="str">
        <f ca="1">IFERROR(__xludf.DUMMYFUNCTION("ARRAYFORMULA(GOOGLETRANSLATE(A:A, ""auto"", ""fa""))
"),"&lt;font color=""#FFFF00""&gt;(دراکو غرغر می‌کند)&lt;/font&gt;")</f>
        <v>&lt;font color="#FFFF00"&gt;(دراکو غرغر می‌کند)&lt;/font&gt;</v>
      </c>
    </row>
    <row r="574" spans="1:1" ht="15.75" customHeight="1" x14ac:dyDescent="0.3">
      <c r="A574" s="1" t="str">
        <f ca="1">IFERROR(__xludf.DUMMYFUNCTION("ARRAYFORMULA(GOOGLETRANSLATE(A:A, ""auto"", ""fa""))
"),"لعنت بهش. ما هیچوقت تو این سایت پیداش نمی‌کنیم.")</f>
        <v>لعنت بهش. ما هیچوقت تو این سایت پیداش نمی‌کنیم.</v>
      </c>
    </row>
    <row r="575" spans="1:1" ht="15.75" customHeight="1" x14ac:dyDescent="0.3">
      <c r="A575" s="1" t="str">
        <f ca="1">IFERROR(__xludf.DUMMYFUNCTION("ARRAYFORMULA(GOOGLETRANSLATE(A:A, ""auto"", ""fa""))
"),"اون اینجاست، فقط اونجا.
&lt;font color=""#FF0000""&gt;رون:&lt;/font&gt; فوق‌العاده‌ست.")</f>
        <v>اون اینجاست، فقط اونجا.
&lt;font color="#FF0000"&gt;رون:&lt;/font&gt; فوق‌العاده‌ست.</v>
      </c>
    </row>
    <row r="576" spans="1:1" ht="15.75" customHeight="1" x14ac:dyDescent="0.3">
      <c r="A576" s="1" t="str">
        <f ca="1">IFERROR(__xludf.DUMMYFUNCTION("ARRAYFORMULA(GOOGLETRANSLATE(A:A, ""auto"", ""fa""))
"),"او همین الان ناپدید شد. من آن را دیدم.")</f>
        <v>او همین الان ناپدید شد. من آن را دیدم.</v>
      </c>
    </row>
    <row r="577" spans="1:1" ht="15.75" customHeight="1" x14ac:dyDescent="0.3">
      <c r="A577" s="1" t="str">
        <f ca="1">IFERROR(__xludf.DUMMYFUNCTION("ARRAYFORMULA(GOOGLETRANSLATE(A:A, ""auto"", ""fa""))
"),"&lt;font color=""#FFFF00""&gt;(غرش)&lt;/font&gt;")</f>
        <v>&lt;font color="#FFFF00"&gt;(غرش)&lt;/font&gt;</v>
      </c>
    </row>
    <row r="578" spans="1:1" ht="15.75" customHeight="1" x14ac:dyDescent="0.3">
      <c r="A578" s="1" t="str">
        <f ca="1">IFERROR(__xludf.DUMMYFUNCTION("ARRAYFORMULA(GOOGLETRANSLATE(A:A, ""auto"", ""fa""))
"),"شاید رفته باشه به اتاق ضروریات.")</f>
        <v>شاید رفته باشه به اتاق ضروریات.</v>
      </c>
    </row>
    <row r="579" spans="1:1" ht="15.75" customHeight="1" x14ac:dyDescent="0.3">
      <c r="A579" s="1" t="str">
        <f ca="1">IFERROR(__xludf.DUMMYFUNCTION("ARRAYFORMULA(GOOGLETRANSLATE(A:A, ""auto"", ""fa""))
"),"روی نقشه که پیدا نیست، نه؟ پارسال اینو گفتی.")</f>
        <v>روی نقشه که پیدا نیست، نه؟ پارسال اینو گفتی.</v>
      </c>
    </row>
    <row r="580" spans="1:1" ht="15.75" customHeight="1" x14ac:dyDescent="0.3">
      <c r="A580" s="1" t="str">
        <f ca="1">IFERROR(__xludf.DUMMYFUNCTION("ARRAYFORMULA(GOOGLETRANSLATE(A:A, ""auto"", ""fa""))
"),"درسته. من... من این کار رو کردم.")</f>
        <v>درسته. من... من این کار رو کردم.</v>
      </c>
    </row>
    <row r="581" spans="1:1" ht="15.75" customHeight="1" x14ac:dyDescent="0.3">
      <c r="A581" s="1" t="str">
        <f ca="1">IFERROR(__xludf.DUMMYFUNCTION("ARRAYFORMULA(GOOGLETRANSLATE(A:A, ""auto"", ""fa""))
"),"بیا بریم.")</f>
        <v>بیا بریم.</v>
      </c>
    </row>
    <row r="582" spans="1:1" ht="15.75" customHeight="1" x14ac:dyDescent="0.3">
      <c r="A582" s="1" t="str">
        <f ca="1">IFERROR(__xludf.DUMMYFUNCTION("ARRAYFORMULA(GOOGLETRANSLATE(A:A, ""auto"", ""fa""))
"),"درخشان.")</f>
        <v>درخشان.</v>
      </c>
    </row>
    <row r="583" spans="1:1" ht="15.75" customHeight="1" x14ac:dyDescent="0.3">
      <c r="A583" s="1" t="str">
        <f ca="1">IFERROR(__xludf.DUMMYFUNCTION("ARRAYFORMULA(GOOGLETRANSLATE(A:A, ""auto"", ""fa""))
"),"&lt;font color=""#FF0000""&gt;دراکو:&lt;/font&gt; بیا دیگه!")</f>
        <v>&lt;font color="#FF0000"&gt;دراکو:&lt;/font&gt; بیا دیگه!</v>
      </c>
    </row>
    <row r="584" spans="1:1" ht="15.75" customHeight="1" x14ac:dyDescent="0.3">
      <c r="A584" s="1" t="str">
        <f ca="1">IFERROR(__xludf.DUMMYFUNCTION("ARRAYFORMULA(GOOGLETRANSLATE(A:A, ""auto"", ""fa""))
"),"&lt;font color=""#FFFF00""&gt;(صداها زمزمه می‌کنند)&lt;/font&gt;")</f>
        <v>&lt;font color="#FFFF00"&gt;(صداها زمزمه می‌کنند)&lt;/font&gt;</v>
      </c>
    </row>
    <row r="585" spans="1:1" ht="15.75" customHeight="1" x14ac:dyDescent="0.3">
      <c r="A585" s="1" t="str">
        <f ca="1">IFERROR(__xludf.DUMMYFUNCTION("ARRAYFORMULA(GOOGLETRANSLATE(A:A, ""auto"", ""fa""))
"),"&lt;font color=""#FFFF00""&gt;(صدای زنگ با فرکانس بالا)&lt;/font&gt;")</f>
        <v>&lt;font color="#FFFF00"&gt;(صدای زنگ با فرکانس بالا)&lt;/font&gt;</v>
      </c>
    </row>
    <row r="586" spans="1:1" ht="15.75" customHeight="1" x14ac:dyDescent="0.3">
      <c r="A586" s="1" t="str">
        <f ca="1">IFERROR(__xludf.DUMMYFUNCTION("ARRAYFORMULA(GOOGLETRANSLATE(A:A, ""auto"", ""fa""))
"),"&lt;font color=""#FF0000""&gt;دراکو:&lt;/font&gt; خب، خب.")</f>
        <v>&lt;font color="#FF0000"&gt;دراکو:&lt;/font&gt; خب، خب.</v>
      </c>
    </row>
    <row r="587" spans="1:1" ht="15.75" customHeight="1" x14ac:dyDescent="0.3">
      <c r="A587" s="1" t="str">
        <f ca="1">IFERROR(__xludf.DUMMYFUNCTION("ARRAYFORMULA(GOOGLETRANSLATE(A:A, ""auto"", ""fa""))
"),"چی تو رو اینجا کشونده، پاتر؟")</f>
        <v>چی تو رو اینجا کشونده، پاتر؟</v>
      </c>
    </row>
    <row r="588" spans="1:1" ht="15.75" customHeight="1" x14ac:dyDescent="0.3">
      <c r="A588" s="1" t="str">
        <f ca="1">IFERROR(__xludf.DUMMYFUNCTION("ARRAYFORMULA(GOOGLETRANSLATE(A:A, ""auto"", ""fa""))
"),"من هم می‌توانم همین را از شما بپرسم.")</f>
        <v>من هم می‌توانم همین را از شما بپرسم.</v>
      </c>
    </row>
    <row r="589" spans="1:1" ht="15.75" customHeight="1" x14ac:dyDescent="0.3">
      <c r="A589" s="1" t="str">
        <f ca="1">IFERROR(__xludf.DUMMYFUNCTION("ARRAYFORMULA(GOOGLETRANSLATE(A:A, ""auto"", ""fa""))
"),"تو یه چیزی از من داری.")</f>
        <v>تو یه چیزی از من داری.</v>
      </c>
    </row>
    <row r="590" spans="1:1" ht="15.75" customHeight="1" x14ac:dyDescent="0.3">
      <c r="A590" s="1" t="str">
        <f ca="1">IFERROR(__xludf.DUMMYFUNCTION("ARRAYFORMULA(GOOGLETRANSLATE(A:A, ""auto"", ""fa""))
"),"دوست دارم برگردونمش.")</f>
        <v>دوست دارم برگردونمش.</v>
      </c>
    </row>
    <row r="591" spans="1:1" ht="15.75" customHeight="1" x14ac:dyDescent="0.3">
      <c r="A591" s="1" t="str">
        <f ca="1">IFERROR(__xludf.DUMMYFUNCTION("ARRAYFORMULA(GOOGLETRANSLATE(A:A, ""auto"", ""fa""))
"),"اونی که داری چه مشکلی داره؟
&lt;font color=""#FF0000""&gt;دراکو:&lt;/font&gt; مال مادرمه.")</f>
        <v>اونی که داری چه مشکلی داره؟
&lt;font color="#FF0000"&gt;دراکو:&lt;/font&gt; مال مادرمه.</v>
      </c>
    </row>
    <row r="592" spans="1:1" ht="15.75" customHeight="1" x14ac:dyDescent="0.3">
      <c r="A592" s="1" t="str">
        <f ca="1">IFERROR(__xludf.DUMMYFUNCTION("ARRAYFORMULA(GOOGLETRANSLATE(A:A, ""auto"", ""fa""))
"),"قدرتمند است، اما مثل قبل نیست.")</f>
        <v>قدرتمند است، اما مثل قبل نیست.</v>
      </c>
    </row>
    <row r="593" spans="1:1" ht="15.75" customHeight="1" x14ac:dyDescent="0.3">
      <c r="A593" s="1" t="str">
        <f ca="1">IFERROR(__xludf.DUMMYFUNCTION("ARRAYFORMULA(GOOGLETRANSLATE(A:A, ""auto"", ""fa""))
"),"کاملاً مرا درک نمی‌کند.")</f>
        <v>کاملاً مرا درک نمی‌کند.</v>
      </c>
    </row>
    <row r="594" spans="1:1" ht="15.75" customHeight="1" x14ac:dyDescent="0.3">
      <c r="A594" s="1" t="str">
        <f ca="1">IFERROR(__xludf.DUMMYFUNCTION("ARRAYFORMULA(GOOGLETRANSLATE(A:A, ""auto"", ""fa""))
"),"منظورم را می‌دانید؟")</f>
        <v>منظورم را می‌دانید؟</v>
      </c>
    </row>
    <row r="595" spans="1:1" ht="15.75" customHeight="1" x14ac:dyDescent="0.3">
      <c r="A595" s="1" t="str">
        <f ca="1">IFERROR(__xludf.DUMMYFUNCTION("ARRAYFORMULA(GOOGLETRANSLATE(A:A, ""auto"", ""fa""))
"),"چرا بهش نگفتی؟")</f>
        <v>چرا بهش نگفتی؟</v>
      </c>
    </row>
    <row r="596" spans="1:1" ht="15.75" customHeight="1" x14ac:dyDescent="0.3">
      <c r="A596" s="1" t="str">
        <f ca="1">IFERROR(__xludf.DUMMYFUNCTION("ARRAYFORMULA(GOOGLETRANSLATE(A:A, ""auto"", ""fa""))
"),"بلاتریکس")</f>
        <v>بلاتریکس</v>
      </c>
    </row>
    <row r="597" spans="1:1" ht="15.75" customHeight="1" x14ac:dyDescent="0.3">
      <c r="A597" s="1" t="str">
        <f ca="1">IFERROR(__xludf.DUMMYFUNCTION("ARRAYFORMULA(GOOGLETRANSLATE(A:A, ""auto"", ""fa""))
"),"تو می‌دانستی که من هستم. چیزی نگفتی.")</f>
        <v>تو می‌دانستی که من هستم. چیزی نگفتی.</v>
      </c>
    </row>
    <row r="598" spans="1:1" ht="15.75" customHeight="1" x14ac:dyDescent="0.3">
      <c r="A598" s="1" t="str">
        <f ca="1">IFERROR(__xludf.DUMMYFUNCTION("ARRAYFORMULA(GOOGLETRANSLATE(A:A, ""auto"", ""fa""))
"),"یالا، دراکو. یاوه‌گو نباش. باهاش ​​بکن.")</f>
        <v>یالا، دراکو. یاوه‌گو نباش. باهاش ​​بکن.</v>
      </c>
    </row>
    <row r="599" spans="1:1" ht="15.75" customHeight="1" x14ac:dyDescent="0.3">
      <c r="A599" s="1" t="str">
        <f ca="1">IFERROR(__xludf.DUMMYFUNCTION("ARRAYFORMULA(GOOGLETRANSLATE(A:A, ""auto"", ""fa""))
"),"&lt;font color=""#FF0000""&gt;دراکو:&lt;/font&gt; آسون بود.")</f>
        <v>&lt;font color="#FF0000"&gt;دراکو:&lt;/font&gt; آسون بود.</v>
      </c>
    </row>
    <row r="600" spans="1:1" ht="15.75" customHeight="1" x14ac:dyDescent="0.3">
      <c r="A600" s="1" t="str">
        <f ca="1">IFERROR(__xludf.DUMMYFUNCTION("ARRAYFORMULA(GOOGLETRANSLATE(A:A, ""auto"", ""fa""))
"),"اکسپلیارموس")</f>
        <v>اکسپلیارموس</v>
      </c>
    </row>
    <row r="601" spans="1:1" ht="15.75" customHeight="1" x14ac:dyDescent="0.3">
      <c r="A601" s="1" t="str">
        <f ca="1">IFERROR(__xludf.DUMMYFUNCTION("ARRAYFORMULA(GOOGLETRANSLATE(A:A, ""auto"", ""fa""))
"),"آوادا کداورا!")</f>
        <v>آوادا کداورا!</v>
      </c>
    </row>
    <row r="602" spans="1:1" ht="15.75" customHeight="1" x14ac:dyDescent="0.3">
      <c r="A602" s="1" t="str">
        <f ca="1">IFERROR(__xludf.DUMMYFUNCTION("ARRAYFORMULA(GOOGLETRANSLATE(A:A, ""auto"", ""fa""))
"),"بیهوش!")</f>
        <v>بیهوش!</v>
      </c>
    </row>
    <row r="603" spans="1:1" ht="15.75" customHeight="1" x14ac:dyDescent="0.3">
      <c r="A603" s="1" t="str">
        <f ca="1">IFERROR(__xludf.DUMMYFUNCTION("ARRAYFORMULA(GOOGLETRANSLATE(A:A, ""auto"", ""fa""))
"),"&lt;font color=""#FFFF00""&gt;(فریاد)&lt;/font&gt;")</f>
        <v>&lt;font color="#FFFF00"&gt;(فریاد)&lt;/font&gt;</v>
      </c>
    </row>
    <row r="604" spans="1:1" ht="15.75" customHeight="1" x14ac:dyDescent="0.3">
      <c r="A604" s="1" t="str">
        <f ca="1">IFERROR(__xludf.DUMMYFUNCTION("ARRAYFORMULA(GOOGLETRANSLATE(A:A, ""auto"", ""fa""))
"),"&lt;font color=""#FF0000""&gt;رون:&lt;/font&gt; اون دوست دختر منه، عوضی‌ها!")</f>
        <v>&lt;font color="#FF0000"&gt;رون:&lt;/font&gt; اون دوست دختر منه، عوضی‌ها!</v>
      </c>
    </row>
    <row r="605" spans="1:1" ht="15.75" customHeight="1" x14ac:dyDescent="0.3">
      <c r="A605" s="1" t="str">
        <f ca="1">IFERROR(__xludf.DUMMYFUNCTION("ARRAYFORMULA(GOOGLETRANSLATE(A:A, ""auto"", ""fa""))
"),"&lt;font color=""#FFFF00""&gt;(هری نفس نفس می‌زند و سرفه می‌کند)&lt;/font&gt;")</f>
        <v>&lt;font color="#FFFF00"&gt;(هری نفس نفس می‌زند و سرفه می‌کند)&lt;/font&gt;</v>
      </c>
    </row>
    <row r="606" spans="1:1" ht="15.75" customHeight="1" x14ac:dyDescent="0.3">
      <c r="A606" s="1" t="str">
        <f ca="1">IFERROR(__xludf.DUMMYFUNCTION("ARRAYFORMULA(GOOGLETRANSLATE(A:A, ""auto"", ""fa""))
"),"&lt;font color=""#FFFF00""&gt;(چاق و له کردن)&lt;/font&gt;")</f>
        <v>&lt;font color="#FFFF00"&gt;(چاق و له کردن)&lt;/font&gt;</v>
      </c>
    </row>
    <row r="607" spans="1:1" ht="15.75" customHeight="1" x14ac:dyDescent="0.3">
      <c r="A607" s="1" t="str">
        <f ca="1">IFERROR(__xludf.DUMMYFUNCTION("ARRAYFORMULA(GOOGLETRANSLATE(A:A, ""auto"", ""fa""))
"),"&lt;font color=""#FFFF00""&gt;(جیغ)&lt;/font&gt;")</f>
        <v>&lt;font color="#FFFF00"&gt;(جیغ)&lt;/font&gt;</v>
      </c>
    </row>
    <row r="608" spans="1:1" ht="15.75" customHeight="1" x14ac:dyDescent="0.3">
      <c r="A608" s="1" t="str">
        <f ca="1">IFERROR(__xludf.DUMMYFUNCTION("ARRAYFORMULA(GOOGLETRANSLATE(A:A, ""auto"", ""fa""))
"),"&lt;font color=""#FF0000""&gt;هری:&lt;/font&gt; فهمیدم.")</f>
        <v>&lt;font color="#FF0000"&gt;هری:&lt;/font&gt; فهمیدم.</v>
      </c>
    </row>
    <row r="609" spans="1:1" ht="15.75" customHeight="1" x14ac:dyDescent="0.3">
      <c r="A609" s="1" t="str">
        <f ca="1">IFERROR(__xludf.DUMMYFUNCTION("ARRAYFORMULA(GOOGLETRANSLATE(A:A, ""auto"", ""fa""))
"),"&lt;font color=""#FF0000""&gt;رون:&lt;/font&gt; فرار کن!")</f>
        <v>&lt;font color="#FF0000"&gt;رون:&lt;/font&gt; فرار کن!</v>
      </c>
    </row>
    <row r="610" spans="1:1" ht="15.75" customHeight="1" x14ac:dyDescent="0.3">
      <c r="A610" s="1" t="str">
        <f ca="1">IFERROR(__xludf.DUMMYFUNCTION("ARRAYFORMULA(GOOGLETRANSLATE(A:A, ""auto"", ""fa""))
"),"بدو!")</f>
        <v>بدو!</v>
      </c>
    </row>
    <row r="611" spans="1:1" ht="15.75" customHeight="1" x14ac:dyDescent="0.3">
      <c r="A611" s="1" t="str">
        <f ca="1">IFERROR(__xludf.DUMMYFUNCTION("ARRAYFORMULA(GOOGLETRANSLATE(A:A, ""auto"", ""fa""))
"),"&lt;font color=""#FFFF00""&gt;(رون فریاد می‌زند)&lt;/font&gt;")</f>
        <v>&lt;font color="#FFFF00"&gt;(رون فریاد می‌زند)&lt;/font&gt;</v>
      </c>
    </row>
    <row r="612" spans="1:1" ht="15.75" customHeight="1" x14ac:dyDescent="0.3">
      <c r="A612" s="1" t="str">
        <f ca="1">IFERROR(__xludf.DUMMYFUNCTION("ARRAYFORMULA(GOOGLETRANSLATE(A:A, ""auto"", ""fa""))
"),"گویل داره اون جای لعنتی رو آتیش میزنه!")</f>
        <v>گویل داره اون جای لعنتی رو آتیش میزنه!</v>
      </c>
    </row>
    <row r="613" spans="1:1" ht="15.75" customHeight="1" x14ac:dyDescent="0.3">
      <c r="A613" s="1" t="str">
        <f ca="1">IFERROR(__xludf.DUMMYFUNCTION("ARRAYFORMULA(GOOGLETRANSLATE(A:A, ""auto"", ""fa""))
"),"&lt;font color=""#FFFF00""&gt;(غرش)&lt;/font&gt;")</f>
        <v>&lt;font color="#FFFF00"&gt;(غرش)&lt;/font&gt;</v>
      </c>
    </row>
    <row r="614" spans="1:1" ht="15.75" customHeight="1" x14ac:dyDescent="0.3">
      <c r="A614" s="1" t="str">
        <f ca="1">IFERROR(__xludf.DUMMYFUNCTION("ARRAYFORMULA(GOOGLETRANSLATE(A:A, ""auto"", ""fa""))
"),"&lt;font color=""#FFFF00""&gt;(جیغ)&lt;/font&gt;")</f>
        <v>&lt;font color="#FFFF00"&gt;(جیغ)&lt;/font&gt;</v>
      </c>
    </row>
    <row r="615" spans="1:1" ht="15.75" customHeight="1" x14ac:dyDescent="0.3">
      <c r="A615" s="1" t="str">
        <f ca="1">IFERROR(__xludf.DUMMYFUNCTION("ARRAYFORMULA(GOOGLETRANSLATE(A:A, ""auto"", ""fa""))
"),"بفرمایید! از این طرف!")</f>
        <v>بفرمایید! از این طرف!</v>
      </c>
    </row>
    <row r="616" spans="1:1" ht="15.75" customHeight="1" x14ac:dyDescent="0.3">
      <c r="A616" s="1" t="str">
        <f ca="1">IFERROR(__xludf.DUMMYFUNCTION("ARRAYFORMULA(GOOGLETRANSLATE(A:A, ""auto"", ""fa""))
"),"ما نمی‌توانیم آنها را ترک کنیم.")</f>
        <v>ما نمی‌توانیم آنها را ترک کنیم.</v>
      </c>
    </row>
    <row r="617" spans="1:1" ht="15.75" customHeight="1" x14ac:dyDescent="0.3">
      <c r="A617" s="1" t="str">
        <f ca="1">IFERROR(__xludf.DUMMYFUNCTION("ARRAYFORMULA(GOOGLETRANSLATE(A:A, ""auto"", ""fa""))
"),"داره شوخی می‌کنه، درسته؟")</f>
        <v>داره شوخی می‌کنه، درسته؟</v>
      </c>
    </row>
    <row r="618" spans="1:1" ht="15.75" customHeight="1" x14ac:dyDescent="0.3">
      <c r="A618" s="1" t="str">
        <f ca="1">IFERROR(__xludf.DUMMYFUNCTION("ARRAYFORMULA(GOOGLETRANSLATE(A:A, ""auto"", ""fa""))
"),"اگه ما براشون بمیریم، هری، می‌کشمت.")</f>
        <v>اگه ما براشون بمیریم، هری، می‌کشمت.</v>
      </c>
    </row>
    <row r="619" spans="1:1" ht="15.75" customHeight="1" x14ac:dyDescent="0.3">
      <c r="A619" s="1" t="str">
        <f ca="1">IFERROR(__xludf.DUMMYFUNCTION("ARRAYFORMULA(GOOGLETRANSLATE(A:A, ""auto"", ""fa""))
"),"&lt;font color=""#FFFF00""&gt;(غرغر)&lt;/font&gt;")</f>
        <v>&lt;font color="#FFFF00"&gt;(غرغر)&lt;/font&gt;</v>
      </c>
    </row>
    <row r="620" spans="1:1" ht="15.75" customHeight="1" x14ac:dyDescent="0.3">
      <c r="A620" s="1" t="str">
        <f ca="1">IFERROR(__xludf.DUMMYFUNCTION("ARRAYFORMULA(GOOGLETRANSLATE(A:A, ""auto"", ""fa""))
"),"&lt;font color=""#FF0000""&gt;هرمیون:&lt;/font&gt; هری!")</f>
        <v>&lt;font color="#FF0000"&gt;هرمیون:&lt;/font&gt; هری!</v>
      </c>
    </row>
    <row r="621" spans="1:1" ht="15.75" customHeight="1" x14ac:dyDescent="0.3">
      <c r="A621" s="1" t="str">
        <f ca="1">IFERROR(__xludf.DUMMYFUNCTION("ARRAYFORMULA(GOOGLETRANSLATE(A:A, ""auto"", ""fa""))
"),"&lt;font color=""#FFFF00""&gt;(هیس)&lt;/font&gt;")</f>
        <v>&lt;font color="#FFFF00"&gt;(هیس)&lt;/font&gt;</v>
      </c>
    </row>
    <row r="622" spans="1:1" ht="15.75" customHeight="1" x14ac:dyDescent="0.3">
      <c r="A622" s="1" t="str">
        <f ca="1">IFERROR(__xludf.DUMMYFUNCTION("ARRAYFORMULA(GOOGLETRANSLATE(A:A, ""auto"", ""fa""))
"),"&lt;font color=""#FFFF00""&gt;(نفس نفس زدن و ناله کردن)&lt;/font&gt;")</f>
        <v>&lt;font color="#FFFF00"&gt;(نفس نفس زدن و ناله کردن)&lt;/font&gt;</v>
      </c>
    </row>
    <row r="623" spans="1:1" ht="15.75" customHeight="1" x14ac:dyDescent="0.3">
      <c r="A623" s="1" t="str">
        <f ca="1">IFERROR(__xludf.DUMMYFUNCTION("ARRAYFORMULA(GOOGLETRANSLATE(A:A, ""auto"", ""fa""))
"),"پروردگار من؟")</f>
        <v>پروردگار من؟</v>
      </c>
    </row>
    <row r="624" spans="1:1" ht="15.75" customHeight="1" x14ac:dyDescent="0.3">
      <c r="A624" s="1" t="str">
        <f ca="1">IFERROR(__xludf.DUMMYFUNCTION("ARRAYFORMULA(GOOGLETRANSLATE(A:A, ""auto"", ""fa""))
"),"آوادا کداورا!")</f>
        <v>آوادا کداورا!</v>
      </c>
    </row>
    <row r="625" spans="1:1" ht="15.75" customHeight="1" x14ac:dyDescent="0.3">
      <c r="A625" s="1" t="str">
        <f ca="1">IFERROR(__xludf.DUMMYFUNCTION("ARRAYFORMULA(GOOGLETRANSLATE(A:A, ""auto"", ""fa""))
"),"بیا، ناجینی. من باید تو را در امان نگه دارم.")</f>
        <v>بیا، ناجینی. من باید تو را در امان نگه دارم.</v>
      </c>
    </row>
    <row r="626" spans="1:1" ht="15.75" customHeight="1" x14ac:dyDescent="0.3">
      <c r="A626" s="1" t="str">
        <f ca="1">IFERROR(__xludf.DUMMYFUNCTION("ARRAYFORMULA(GOOGLETRANSLATE(A:A, ""auto"", ""fa""))
"),"&lt;font color=""#FFFF00""&gt;(نفس نفس زدن)&lt;/font&gt;")</f>
        <v>&lt;font color="#FFFF00"&gt;(نفس نفس زدن)&lt;/font&gt;</v>
      </c>
    </row>
    <row r="627" spans="1:1" ht="15.75" customHeight="1" x14ac:dyDescent="0.3">
      <c r="A627" s="1" t="str">
        <f ca="1">IFERROR(__xludf.DUMMYFUNCTION("ARRAYFORMULA(GOOGLETRANSLATE(A:A, ""auto"", ""fa""))
"),"&lt;font color=""#FF0000""&gt;هری:&lt;/font&gt; این مارِ.")</f>
        <v>&lt;font color="#FF0000"&gt;هری:&lt;/font&gt; این مارِ.</v>
      </c>
    </row>
    <row r="628" spans="1:1" ht="15.75" customHeight="1" x14ac:dyDescent="0.3">
      <c r="A628" s="1" t="str">
        <f ca="1">IFERROR(__xludf.DUMMYFUNCTION("ARRAYFORMULA(GOOGLETRANSLATE(A:A, ""auto"", ""fa""))
"),"اون آخرین نفرِ. این آخرین هورکراکسه.")</f>
        <v>اون آخرین نفرِ. این آخرین هورکراکسه.</v>
      </c>
    </row>
    <row r="629" spans="1:1" ht="15.75" customHeight="1" x14ac:dyDescent="0.3">
      <c r="A629" s="1" t="str">
        <f ca="1">IFERROR(__xludf.DUMMYFUNCTION("ARRAYFORMULA(GOOGLETRANSLATE(A:A, ""auto"", ""fa""))
"),"&lt;font color=""#FF0000""&gt;رون:&lt;/font&gt; به درونش نگاه کن، هری.")</f>
        <v>&lt;font color="#FF0000"&gt;رون:&lt;/font&gt; به درونش نگاه کن، هری.</v>
      </c>
    </row>
    <row r="630" spans="1:1" ht="15.75" customHeight="1" x14ac:dyDescent="0.3">
      <c r="A630" s="1" t="str">
        <f ca="1">IFERROR(__xludf.DUMMYFUNCTION("ARRAYFORMULA(GOOGLETRANSLATE(A:A, ""auto"", ""fa""))
"),"بفهم او کجاست. اگر او را پیدا کنیم، می‌توانیم مار را هم پیدا کنیم.")</f>
        <v>بفهم او کجاست. اگر او را پیدا کنیم، می‌توانیم مار را هم پیدا کنیم.</v>
      </c>
    </row>
    <row r="631" spans="1:1" ht="15.75" customHeight="1" x14ac:dyDescent="0.3">
      <c r="A631" s="1" t="str">
        <f ca="1">IFERROR(__xludf.DUMMYFUNCTION("ARRAYFORMULA(GOOGLETRANSLATE(A:A, ""auto"", ""fa""))
"),"بعدش می‌تونیم به این موضوع پایان بدیم.")</f>
        <v>بعدش می‌تونیم به این موضوع پایان بدیم.</v>
      </c>
    </row>
    <row r="632" spans="1:1" ht="15.75" customHeight="1" x14ac:dyDescent="0.3">
      <c r="A632" s="1" t="str">
        <f ca="1">IFERROR(__xludf.DUMMYFUNCTION("ARRAYFORMULA(GOOGLETRANSLATE(A:A, ""auto"", ""fa""))
"),"&lt;font color=""#FF0000""&gt;لوسیوس:&lt;/font&gt; سرورم؟")</f>
        <v>&lt;font color="#FF0000"&gt;لوسیوس:&lt;/font&gt; سرورم؟</v>
      </c>
    </row>
    <row r="633" spans="1:1" ht="15.75" customHeight="1" x14ac:dyDescent="0.3">
      <c r="A633" s="1" t="str">
        <f ca="1">IFERROR(__xludf.DUMMYFUNCTION("ARRAYFORMULA(GOOGLETRANSLATE(A:A, ""auto"", ""fa""))
"),"شاید کمتر بشه، اه...")</f>
        <v>شاید کمتر بشه، اه...</v>
      </c>
    </row>
    <row r="634" spans="1:1" ht="15.75" customHeight="1" x14ac:dyDescent="0.3">
      <c r="A634" s="1" t="str">
        <f ca="1">IFERROR(__xludf.DUMMYFUNCTION("ARRAYFORMULA(GOOGLETRANSLATE(A:A, ""auto"", ""fa""))
"),"آیا عاقلانه‌تر نیست که از این حمله صرف نظر کنیم...")</f>
        <v>آیا عاقلانه‌تر نیست که از این حمله صرف نظر کنیم...</v>
      </c>
    </row>
    <row r="635" spans="1:1" ht="15.75" customHeight="1" x14ac:dyDescent="0.3">
      <c r="A635" s="1" t="str">
        <f ca="1">IFERROR(__xludf.DUMMYFUNCTION("ARRAYFORMULA(GOOGLETRANSLATE(A:A, ""auto"", ""fa""))
"),"... و خودت به سادگی دنبال پسر بگرد؟")</f>
        <v>... و خودت به سادگی دنبال پسر بگرد؟</v>
      </c>
    </row>
    <row r="636" spans="1:1" ht="15.75" customHeight="1" x14ac:dyDescent="0.3">
      <c r="A636" s="1" t="str">
        <f ca="1">IFERROR(__xludf.DUMMYFUNCTION("ARRAYFORMULA(GOOGLETRANSLATE(A:A, ""auto"", ""fa""))
"),"&lt;font color=""#FF0000""&gt;ولدمورت:&lt;/font&gt; من نیازی ندارم دنبال اون پسر بگردم.")</f>
        <v>&lt;font color="#FF0000"&gt;ولدمورت:&lt;/font&gt; من نیازی ندارم دنبال اون پسر بگردم.</v>
      </c>
    </row>
    <row r="637" spans="1:1" ht="15.75" customHeight="1" x14ac:dyDescent="0.3">
      <c r="A637" s="1" t="str">
        <f ca="1">IFERROR(__xludf.DUMMYFUNCTION("ARRAYFORMULA(GOOGLETRANSLATE(A:A, ""auto"", ""fa""))
"),"قبل از اینکه شب تمام شود، او پیش من خواهد آمد. فهمیدی؟")</f>
        <v>قبل از اینکه شب تمام شود، او پیش من خواهد آمد. فهمیدی؟</v>
      </c>
    </row>
    <row r="638" spans="1:1" ht="15.75" customHeight="1" x14ac:dyDescent="0.3">
      <c r="A638" s="1" t="str">
        <f ca="1">IFERROR(__xludf.DUMMYFUNCTION("ARRAYFORMULA(GOOGLETRANSLATE(A:A, ""auto"", ""fa""))
"),"به من نگاه کن.")</f>
        <v>به من نگاه کن.</v>
      </c>
    </row>
    <row r="639" spans="1:1" ht="15.75" customHeight="1" x14ac:dyDescent="0.3">
      <c r="A639" s="1" t="str">
        <f ca="1">IFERROR(__xludf.DUMMYFUNCTION("ARRAYFORMULA(GOOGLETRANSLATE(A:A, ""auto"", ""fa""))
"),"چطور می‌تونی با خودت کنار بیای، لوسیوس؟")</f>
        <v>چطور می‌تونی با خودت کنار بیای، لوسیوس؟</v>
      </c>
    </row>
    <row r="640" spans="1:1" ht="15.75" customHeight="1" x14ac:dyDescent="0.3">
      <c r="A640" s="1" t="str">
        <f ca="1">IFERROR(__xludf.DUMMYFUNCTION("ARRAYFORMULA(GOOGLETRANSLATE(A:A, ""auto"", ""fa""))
"),"نمی‌دانم.")</f>
        <v>نمی‌دانم.</v>
      </c>
    </row>
    <row r="641" spans="1:1" ht="15.75" customHeight="1" x14ac:dyDescent="0.3">
      <c r="A641" s="1" t="str">
        <f ca="1">IFERROR(__xludf.DUMMYFUNCTION("ARRAYFORMULA(GOOGLETRANSLATE(A:A, ""auto"", ""fa""))
"),"برو و سوروس رو پیدا کن.")</f>
        <v>برو و سوروس رو پیدا کن.</v>
      </c>
    </row>
    <row r="642" spans="1:1" ht="15.75" customHeight="1" x14ac:dyDescent="0.3">
      <c r="A642" s="1" t="str">
        <f ca="1">IFERROR(__xludf.DUMMYFUNCTION("ARRAYFORMULA(GOOGLETRANSLATE(A:A, ""auto"", ""fa""))
"),"او را نزد من بیاور.")</f>
        <v>او را نزد من بیاور.</v>
      </c>
    </row>
    <row r="643" spans="1:1" ht="15.75" customHeight="1" x14ac:dyDescent="0.3">
      <c r="A643" s="1" t="str">
        <f ca="1">IFERROR(__xludf.DUMMYFUNCTION("ARRAYFORMULA(GOOGLETRANSLATE(A:A, ""auto"", ""fa""))
"),"من می‌دانم او کجاست.")</f>
        <v>من می‌دانم او کجاست.</v>
      </c>
    </row>
    <row r="644" spans="1:1" ht="15.75" customHeight="1" x14ac:dyDescent="0.3">
      <c r="A644" s="1" t="str">
        <f ca="1">IFERROR(__xludf.DUMMYFUNCTION("ARRAYFORMULA(GOOGLETRANSLATE(A:A, ""auto"", ""fa""))
"),"&lt;font color=""#FF0000""&gt;الیور:&lt;/font&gt; بیا دیگه!")</f>
        <v>&lt;font color="#FF0000"&gt;الیور:&lt;/font&gt; بیا دیگه!</v>
      </c>
    </row>
    <row r="645" spans="1:1" ht="15.75" customHeight="1" x14ac:dyDescent="0.3">
      <c r="A645" s="1" t="str">
        <f ca="1">IFERROR(__xludf.DUMMYFUNCTION("ARRAYFORMULA(GOOGLETRANSLATE(A:A, ""auto"", ""fa""))
"),"&lt;font color=""#FFFF00""&gt;(فریاد)&lt;/font&gt;")</f>
        <v>&lt;font color="#FFFF00"&gt;(فریاد)&lt;/font&gt;</v>
      </c>
    </row>
    <row r="646" spans="1:1" ht="15.75" customHeight="1" x14ac:dyDescent="0.3">
      <c r="A646" s="1" t="str">
        <f ca="1">IFERROR(__xludf.DUMMYFUNCTION("ARRAYFORMULA(GOOGLETRANSLATE(A:A, ""auto"", ""fa""))
"),"&lt;font color=""#FFFF00""&gt;(غرغر)&lt;/font&gt;")</f>
        <v>&lt;font color="#FFFF00"&gt;(غرغر)&lt;/font&gt;</v>
      </c>
    </row>
    <row r="647" spans="1:1" ht="15.75" customHeight="1" x14ac:dyDescent="0.3">
      <c r="A647" s="1" t="str">
        <f ca="1">IFERROR(__xludf.DUMMYFUNCTION("ARRAYFORMULA(GOOGLETRANSLATE(A:A, ""auto"", ""fa""))
"),"&lt;font color=""#FFFF00""&gt;(صدای جیرجیر عنکبوت‌ها)&lt;/font&gt;")</f>
        <v>&lt;font color="#FFFF00"&gt;(صدای جیرجیر عنکبوت‌ها)&lt;/font&gt;</v>
      </c>
    </row>
    <row r="648" spans="1:1" ht="15.75" customHeight="1" x14ac:dyDescent="0.3">
      <c r="A648" s="1" t="str">
        <f ca="1">IFERROR(__xludf.DUMMYFUNCTION("ARRAYFORMULA(GOOGLETRANSLATE(A:A, ""auto"", ""fa""))
"),"&lt;font color=""#FF0000""&gt;پسر:&lt;/font&gt; کروسیو!")</f>
        <v>&lt;font color="#FF0000"&gt;پسر:&lt;/font&gt; کروسیو!</v>
      </c>
    </row>
    <row r="649" spans="1:1" ht="15.75" customHeight="1" x14ac:dyDescent="0.3">
      <c r="A649" s="1" t="str">
        <f ca="1">IFERROR(__xludf.DUMMYFUNCTION("ARRAYFORMULA(GOOGLETRANSLATE(A:A, ""auto"", ""fa""))
"),"&lt;font color=""#FF0000""&gt;هرمیون:&lt;/font&gt; نه!")</f>
        <v>&lt;font color="#FF0000"&gt;هرمیون:&lt;/font&gt; نه!</v>
      </c>
    </row>
    <row r="650" spans="1:1" ht="15.75" customHeight="1" x14ac:dyDescent="0.3">
      <c r="A650" s="1" t="str">
        <f ca="1">IFERROR(__xludf.DUMMYFUNCTION("ARRAYFORMULA(GOOGLETRANSLATE(A:A, ""auto"", ""fa""))
"),"&lt;font color=""#FF0000""&gt;اسنیپ:&lt;/font&gt; شما با این چوبدستی جادوی خارق‌العاده‌ای انجام داده‌اید، سرورم...")</f>
        <v>&lt;font color="#FF0000"&gt;اسنیپ:&lt;/font&gt; شما با این چوبدستی جادوی خارق‌العاده‌ای انجام داده‌اید، سرورم...</v>
      </c>
    </row>
    <row r="651" spans="1:1" ht="15.75" customHeight="1" x14ac:dyDescent="0.3">
      <c r="A651" s="1" t="str">
        <f ca="1">IFERROR(__xludf.DUMMYFUNCTION("ARRAYFORMULA(GOOGLETRANSLATE(A:A, ""auto"", ""fa""))
"),"...تنها در چند ساعت گذشته.")</f>
        <v>...تنها در چند ساعت گذشته.</v>
      </c>
    </row>
    <row r="652" spans="1:1" ht="15.75" customHeight="1" x14ac:dyDescent="0.3">
      <c r="A652" s="1" t="str">
        <f ca="1">IFERROR(__xludf.DUMMYFUNCTION("ARRAYFORMULA(GOOGLETRANSLATE(A:A, ""auto"", ""fa""))
"),"ولدمورت: نه.")</f>
        <v>ولدمورت: نه.</v>
      </c>
    </row>
    <row r="653" spans="1:1" ht="15.75" customHeight="1" x14ac:dyDescent="0.3">
      <c r="A653" s="1" t="str">
        <f ca="1">IFERROR(__xludf.DUMMYFUNCTION("ARRAYFORMULA(GOOGLETRANSLATE(A:A, ""auto"", ""fa""))
"),"نه، من فوق‌العاده‌ام...")</f>
        <v>نه، من فوق‌العاده‌ام...</v>
      </c>
    </row>
    <row r="654" spans="1:1" ht="15.75" customHeight="1" x14ac:dyDescent="0.3">
      <c r="A654" s="1" t="str">
        <f ca="1">IFERROR(__xludf.DUMMYFUNCTION("ARRAYFORMULA(GOOGLETRANSLATE(A:A, ""auto"", ""fa""))
"),"... اما چوبدستی در برابر من مقاومت می‌کند.")</f>
        <v>... اما چوبدستی در برابر من مقاومت می‌کند.</v>
      </c>
    </row>
    <row r="655" spans="1:1" ht="15.75" customHeight="1" x14ac:dyDescent="0.3">
      <c r="A655" s="1" t="str">
        <f ca="1">IFERROR(__xludf.DUMMYFUNCTION("ARRAYFORMULA(GOOGLETRANSLATE(A:A, ""auto"", ""fa""))
"),"&lt;font color=""#FF0000""&gt;اسنیپ:&lt;/font&gt; هیچ چوبدستی قدرتمندتری وجود ندارد.")</f>
        <v>&lt;font color="#FF0000"&gt;اسنیپ:&lt;/font&gt; هیچ چوبدستی قدرتمندتری وجود ندارد.</v>
      </c>
    </row>
    <row r="656" spans="1:1" ht="15.75" customHeight="1" x14ac:dyDescent="0.3">
      <c r="A656" s="1" t="str">
        <f ca="1">IFERROR(__xludf.DUMMYFUNCTION("ARRAYFORMULA(GOOGLETRANSLATE(A:A, ""auto"", ""fa""))
"),"خود الیوندر این را گفته است.")</f>
        <v>خود الیوندر این را گفته است.</v>
      </c>
    </row>
    <row r="657" spans="1:1" ht="15.75" customHeight="1" x14ac:dyDescent="0.3">
      <c r="A657" s="1" t="str">
        <f ca="1">IFERROR(__xludf.DUMMYFUNCTION("ARRAYFORMULA(GOOGLETRANSLATE(A:A, ""auto"", ""fa""))
"),"امشب، وقتی پسر بیاید، ناامیدت نخواهد کرد. مطمئنم.")</f>
        <v>امشب، وقتی پسر بیاید، ناامیدت نخواهد کرد. مطمئنم.</v>
      </c>
    </row>
    <row r="658" spans="1:1" ht="15.75" customHeight="1" x14ac:dyDescent="0.3">
      <c r="A658" s="1" t="str">
        <f ca="1">IFERROR(__xludf.DUMMYFUNCTION("ARRAYFORMULA(GOOGLETRANSLATE(A:A, ""auto"", ""fa""))
"),"بهت جواب میده...")</f>
        <v>بهت جواب میده...</v>
      </c>
    </row>
    <row r="659" spans="1:1" ht="15.75" customHeight="1" x14ac:dyDescent="0.3">
      <c r="A659" s="1" t="str">
        <f ca="1">IFERROR(__xludf.DUMMYFUNCTION("ARRAYFORMULA(GOOGLETRANSLATE(A:A, ""auto"", ""fa""))
"),"... و فقط تو.")</f>
        <v>... و فقط تو.</v>
      </c>
    </row>
    <row r="660" spans="1:1" ht="15.75" customHeight="1" x14ac:dyDescent="0.3">
      <c r="A660" s="1" t="str">
        <f ca="1">IFERROR(__xludf.DUMMYFUNCTION("ARRAYFORMULA(GOOGLETRANSLATE(A:A, ""auto"", ""fa""))
"),"آیا اینطور است؟")</f>
        <v>آیا اینطور است؟</v>
      </c>
    </row>
    <row r="661" spans="1:1" ht="15.75" customHeight="1" x14ac:dyDescent="0.3">
      <c r="A661" s="1" t="str">
        <f ca="1">IFERROR(__xludf.DUMMYFUNCTION("ARRAYFORMULA(GOOGLETRANSLATE(A:A, ""auto"", ""fa""))
"),"پروردگار من؟")</f>
        <v>پروردگار من؟</v>
      </c>
    </row>
    <row r="662" spans="1:1" ht="15.75" customHeight="1" x14ac:dyDescent="0.3">
      <c r="A662" s="1" t="str">
        <f ca="1">IFERROR(__xludf.DUMMYFUNCTION("ARRAYFORMULA(GOOGLETRANSLATE(A:A, ""auto"", ""fa""))
"),"عصا، آیا واقعاً به من پاسخ می‌دهد؟")</f>
        <v>عصا، آیا واقعاً به من پاسخ می‌دهد؟</v>
      </c>
    </row>
    <row r="663" spans="1:1" ht="15.75" customHeight="1" x14ac:dyDescent="0.3">
      <c r="A663" s="1" t="str">
        <f ca="1">IFERROR(__xludf.DUMMYFUNCTION("ARRAYFORMULA(GOOGLETRANSLATE(A:A, ""auto"", ""fa""))
"),"تو مرد باهوشی هستی، سوروس.")</f>
        <v>تو مرد باهوشی هستی، سوروس.</v>
      </c>
    </row>
    <row r="664" spans="1:1" ht="15.75" customHeight="1" x14ac:dyDescent="0.3">
      <c r="A664" s="1" t="str">
        <f ca="1">IFERROR(__xludf.DUMMYFUNCTION("ARRAYFORMULA(GOOGLETRANSLATE(A:A, ""auto"", ""fa""))
"),"حتماً باید بدونی.")</f>
        <v>حتماً باید بدونی.</v>
      </c>
    </row>
    <row r="665" spans="1:1" ht="15.75" customHeight="1" x14ac:dyDescent="0.3">
      <c r="A665" s="1" t="str">
        <f ca="1">IFERROR(__xludf.DUMMYFUNCTION("ARRAYFORMULA(GOOGLETRANSLATE(A:A, ""auto"", ""fa""))
"),"وفاداری واقعی آن در کجا نهفته است؟")</f>
        <v>وفاداری واقعی آن در کجا نهفته است؟</v>
      </c>
    </row>
    <row r="666" spans="1:1" ht="15.75" customHeight="1" x14ac:dyDescent="0.3">
      <c r="A666" s="1" t="str">
        <f ca="1">IFERROR(__xludf.DUMMYFUNCTION("ARRAYFORMULA(GOOGLETRANSLATE(A:A, ""auto"", ""fa""))
"),"&lt;font color=""#FF0000""&gt;اسنیپ:&lt;/font&gt; با تو...")</f>
        <v>&lt;font color="#FF0000"&gt;اسنیپ:&lt;/font&gt; با تو...</v>
      </c>
    </row>
    <row r="667" spans="1:1" ht="15.75" customHeight="1" x14ac:dyDescent="0.3">
      <c r="A667" s="1" t="str">
        <f ca="1">IFERROR(__xludf.DUMMYFUNCTION("ARRAYFORMULA(GOOGLETRANSLATE(A:A, ""auto"", ""fa""))
"),"...البته، پروردگارا.")</f>
        <v>...البته، پروردگارا.</v>
      </c>
    </row>
    <row r="668" spans="1:1" ht="15.75" customHeight="1" x14ac:dyDescent="0.3">
      <c r="A668" s="1" t="str">
        <f ca="1">IFERROR(__xludf.DUMMYFUNCTION("ARRAYFORMULA(GOOGLETRANSLATE(A:A, ""auto"", ""fa""))
"),"&lt;font color=""#FF0000""&gt;ولدمورت:&lt;/font&gt; چوبدستی ارشد...")</f>
        <v>&lt;font color="#FF0000"&gt;ولدمورت:&lt;/font&gt; چوبدستی ارشد...</v>
      </c>
    </row>
    <row r="669" spans="1:1" ht="15.75" customHeight="1" x14ac:dyDescent="0.3">
      <c r="A669" s="1" t="str">
        <f ca="1">IFERROR(__xludf.DUMMYFUNCTION("ARRAYFORMULA(GOOGLETRANSLATE(A:A, ""auto"", ""fa""))
"),"...نمی‌تواند به درستی به من خدمت کند
چون من ارباب واقعی آن نیستم.")</f>
        <v>...نمی‌تواند به درستی به من خدمت کند
چون من ارباب واقعی آن نیستم.</v>
      </c>
    </row>
    <row r="670" spans="1:1" ht="15.75" customHeight="1" x14ac:dyDescent="0.3">
      <c r="A670" s="1" t="str">
        <f ca="1">IFERROR(__xludf.DUMMYFUNCTION("ARRAYFORMULA(GOOGLETRANSLATE(A:A, ""auto"", ""fa""))
"),"چوبدستی کهن متعلق به جادوگری است که آخرین صاحبش را کشت.")</f>
        <v>چوبدستی کهن متعلق به جادوگری است که آخرین صاحبش را کشت.</v>
      </c>
    </row>
    <row r="671" spans="1:1" ht="15.75" customHeight="1" x14ac:dyDescent="0.3">
      <c r="A671" s="1" t="str">
        <f ca="1">IFERROR(__xludf.DUMMYFUNCTION("ARRAYFORMULA(GOOGLETRANSLATE(A:A, ""auto"", ""fa""))
"),"تو دامبلدور رو کشتی، سوروس.")</f>
        <v>تو دامبلدور رو کشتی، سوروس.</v>
      </c>
    </row>
    <row r="672" spans="1:1" ht="15.75" customHeight="1" x14ac:dyDescent="0.3">
      <c r="A672" s="1" t="str">
        <f ca="1">IFERROR(__xludf.DUMMYFUNCTION("ARRAYFORMULA(GOOGLETRANSLATE(A:A, ""auto"", ""fa""))
"),"تا وقتی تو زنده‌ای، چوبدستی کهن نمی‌تونه واقعاً مال من باشه.")</f>
        <v>تا وقتی تو زنده‌ای، چوبدستی کهن نمی‌تونه واقعاً مال من باشه.</v>
      </c>
    </row>
    <row r="673" spans="1:1" ht="15.75" customHeight="1" x14ac:dyDescent="0.3">
      <c r="A673" s="1" t="str">
        <f ca="1">IFERROR(__xludf.DUMMYFUNCTION("ARRAYFORMULA(GOOGLETRANSLATE(A:A, ""auto"", ""fa""))
"),"تو خدمتگزار خوب و وفاداری بودی، سوروس...")</f>
        <v>تو خدمتگزار خوب و وفاداری بودی، سوروس...</v>
      </c>
    </row>
    <row r="674" spans="1:1" ht="15.75" customHeight="1" x14ac:dyDescent="0.3">
      <c r="A674" s="1" t="str">
        <f ca="1">IFERROR(__xludf.DUMMYFUNCTION("ARRAYFORMULA(GOOGLETRANSLATE(A:A, ""auto"", ""fa""))
"),"...اما فقط من می‌توانم تا ابد زنده بمانم.")</f>
        <v>...اما فقط من می‌توانم تا ابد زنده بمانم.</v>
      </c>
    </row>
    <row r="675" spans="1:1" ht="15.75" customHeight="1" x14ac:dyDescent="0.3">
      <c r="A675" s="1" t="str">
        <f ca="1">IFERROR(__xludf.DUMMYFUNCTION("ARRAYFORMULA(GOOGLETRANSLATE(A:A, ""auto"", ""fa""))
"),"پروردگار من...")</f>
        <v>پروردگار من...</v>
      </c>
    </row>
    <row r="676" spans="1:1" ht="15.75" customHeight="1" x14ac:dyDescent="0.3">
      <c r="A676" s="1" t="str">
        <f ca="1">IFERROR(__xludf.DUMMYFUNCTION("ARRAYFORMULA(GOOGLETRANSLATE(A:A, ""auto"", ""fa""))
"),"&lt;font color=""#FFFF00""&gt;(صدایی)&lt;/font&gt;")</f>
        <v>&lt;font color="#FFFF00"&gt;(صدایی)&lt;/font&gt;</v>
      </c>
    </row>
    <row r="677" spans="1:1" ht="15.75" customHeight="1" x14ac:dyDescent="0.3">
      <c r="A677" s="1" t="str">
        <f ca="1">IFERROR(__xludf.DUMMYFUNCTION("ARRAYFORMULA(GOOGLETRANSLATE(A:A, ""auto"", ""fa""))
"),"&lt;font color=""#FF0000""&gt;ولدمورت:&lt;/font&gt; ناگینی، بکش.")</f>
        <v>&lt;font color="#FF0000"&gt;ولدمورت:&lt;/font&gt; ناگینی، بکش.</v>
      </c>
    </row>
    <row r="678" spans="1:1" ht="15.75" customHeight="1" x14ac:dyDescent="0.3">
      <c r="A678" s="1" t="str">
        <f ca="1">IFERROR(__xludf.DUMMYFUNCTION("ARRAYFORMULA(GOOGLETRANSLATE(A:A, ""auto"", ""fa""))
"),"&lt;font color=""#FFFF00""&gt;(اسنیپ نفس نفس می‌زند)&lt;/font&gt;")</f>
        <v>&lt;font color="#FFFF00"&gt;(اسنیپ نفس نفس می‌زند)&lt;/font&gt;</v>
      </c>
    </row>
    <row r="679" spans="1:1" ht="15.75" customHeight="1" x14ac:dyDescent="0.3">
      <c r="A679" s="1" t="str">
        <f ca="1">IFERROR(__xludf.DUMMYFUNCTION("ARRAYFORMULA(GOOGLETRANSLATE(A:A, ""auto"", ""fa""))
"),"اسنیپ: بگیرشون.")</f>
        <v>اسنیپ: بگیرشون.</v>
      </c>
    </row>
    <row r="680" spans="1:1" ht="15.75" customHeight="1" x14ac:dyDescent="0.3">
      <c r="A680" s="1" t="str">
        <f ca="1">IFERROR(__xludf.DUMMYFUNCTION("ARRAYFORMULA(GOOGLETRANSLATE(A:A, ""auto"", ""fa""))
"),"آنها را بگیر.")</f>
        <v>آنها را بگیر.</v>
      </c>
    </row>
    <row r="681" spans="1:1" ht="15.75" customHeight="1" x14ac:dyDescent="0.3">
      <c r="A681" s="1" t="str">
        <f ca="1">IFERROR(__xludf.DUMMYFUNCTION("ARRAYFORMULA(GOOGLETRANSLATE(A:A, ""auto"", ""fa""))
"),"خواهش می‌کنم.")</f>
        <v>خواهش می‌کنم.</v>
      </c>
    </row>
    <row r="682" spans="1:1" ht="15.75" customHeight="1" x14ac:dyDescent="0.3">
      <c r="A682" s="1" t="str">
        <f ca="1">IFERROR(__xludf.DUMMYFUNCTION("ARRAYFORMULA(GOOGLETRANSLATE(A:A, ""auto"", ""fa""))
"),"یه چیزی بهم بده. زود. یه فلاسک، هرچی.")</f>
        <v>یه چیزی بهم بده. زود. یه فلاسک، هرچی.</v>
      </c>
    </row>
    <row r="683" spans="1:1" ht="15.75" customHeight="1" x14ac:dyDescent="0.3">
      <c r="A683" s="1" t="str">
        <f ca="1">IFERROR(__xludf.DUMMYFUNCTION("ARRAYFORMULA(GOOGLETRANSLATE(A:A, ""auto"", ""fa""))
"),"اسنیپ: اونا رو ببر پیش قدح اندیشه.")</f>
        <v>اسنیپ: اونا رو ببر پیش قدح اندیشه.</v>
      </c>
    </row>
    <row r="684" spans="1:1" ht="15.75" customHeight="1" x14ac:dyDescent="0.3">
      <c r="A684" s="1" t="str">
        <f ca="1">IFERROR(__xludf.DUMMYFUNCTION("ARRAYFORMULA(GOOGLETRANSLATE(A:A, ""auto"", ""fa""))
"),"به من نگاه کن.")</f>
        <v>به من نگاه کن.</v>
      </c>
    </row>
    <row r="685" spans="1:1" ht="15.75" customHeight="1" x14ac:dyDescent="0.3">
      <c r="A685" s="1" t="str">
        <f ca="1">IFERROR(__xludf.DUMMYFUNCTION("ARRAYFORMULA(GOOGLETRANSLATE(A:A, ""auto"", ""fa""))
"),"تو چشمای مادرت رو داری.")</f>
        <v>تو چشمای مادرت رو داری.</v>
      </c>
    </row>
    <row r="686" spans="1:1" ht="15.75" customHeight="1" x14ac:dyDescent="0.3">
      <c r="A686" s="1" t="str">
        <f ca="1">IFERROR(__xludf.DUMMYFUNCTION("ARRAYFORMULA(GOOGLETRANSLATE(A:A, ""auto"", ""fa""))
"),"&lt;font color=""#FFFF00""&gt;(آه)&lt;/font&gt;")</f>
        <v>&lt;font color="#FFFF00"&gt;(آه)&lt;/font&gt;</v>
      </c>
    </row>
    <row r="687" spans="1:1" ht="15.75" customHeight="1" x14ac:dyDescent="0.3">
      <c r="A687" s="1" t="str">
        <f ca="1">IFERROR(__xludf.DUMMYFUNCTION("ARRAYFORMULA(GOOGLETRANSLATE(A:A, ""auto"", ""fa""))
"),"&lt;font color=""#FF0000""&gt;ولدمورت:&lt;/font&gt; تو شجاعانه جنگیدی...")</f>
        <v>&lt;font color="#FF0000"&gt;ولدمورت:&lt;/font&gt; تو شجاعانه جنگیدی...</v>
      </c>
    </row>
    <row r="688" spans="1:1" ht="15.75" customHeight="1" x14ac:dyDescent="0.3">
      <c r="A688" s="1" t="str">
        <f ca="1">IFERROR(__xludf.DUMMYFUNCTION("ARRAYFORMULA(GOOGLETRANSLATE(A:A, ""auto"", ""fa""))
"),"... اما بیهوده.")</f>
        <v>... اما بیهوده.</v>
      </c>
    </row>
    <row r="689" spans="1:1" ht="15.75" customHeight="1" x14ac:dyDescent="0.3">
      <c r="A689" s="1" t="str">
        <f ca="1">IFERROR(__xludf.DUMMYFUNCTION("ARRAYFORMULA(GOOGLETRANSLATE(A:A, ""auto"", ""fa""))
"),"من این را آرزو نمی‌کنم.")</f>
        <v>من این را آرزو نمی‌کنم.</v>
      </c>
    </row>
    <row r="690" spans="1:1" ht="15.75" customHeight="1" x14ac:dyDescent="0.3">
      <c r="A690" s="1" t="str">
        <f ca="1">IFERROR(__xludf.DUMMYFUNCTION("ARRAYFORMULA(GOOGLETRANSLATE(A:A, ""auto"", ""fa""))
"),"هر قطره خون جادویی که ریخته می‌شود، هدر دادن وحشتناکی است.")</f>
        <v>هر قطره خون جادویی که ریخته می‌شود، هدر دادن وحشتناکی است.</v>
      </c>
    </row>
    <row r="691" spans="1:1" ht="15.75" customHeight="1" x14ac:dyDescent="0.3">
      <c r="A691" s="1" t="str">
        <f ca="1">IFERROR(__xludf.DUMMYFUNCTION("ARRAYFORMULA(GOOGLETRANSLATE(A:A, ""auto"", ""fa""))
"),"بنابراین به نیروهایم دستور عقب‌نشینی می‌دهم.")</f>
        <v>بنابراین به نیروهایم دستور عقب‌نشینی می‌دهم.</v>
      </c>
    </row>
    <row r="692" spans="1:1" ht="15.75" customHeight="1" x14ac:dyDescent="0.3">
      <c r="A692" s="1" t="str">
        <f ca="1">IFERROR(__xludf.DUMMYFUNCTION("ARRAYFORMULA(GOOGLETRANSLATE(A:A, ""auto"", ""fa""))
"),"در غیاب آنها، مردگان خود را با عزت دفن کنید.")</f>
        <v>در غیاب آنها، مردگان خود را با عزت دفن کنید.</v>
      </c>
    </row>
    <row r="693" spans="1:1" ht="15.75" customHeight="1" x14ac:dyDescent="0.3">
      <c r="A693" s="1" t="str">
        <f ca="1">IFERROR(__xludf.DUMMYFUNCTION("ARRAYFORMULA(GOOGLETRANSLATE(A:A, ""auto"", ""fa""))
"),"هری پاتر، حالا من مستقیماً با تو صحبت می‌کنم.")</f>
        <v>هری پاتر، حالا من مستقیماً با تو صحبت می‌کنم.</v>
      </c>
    </row>
    <row r="694" spans="1:1" ht="15.75" customHeight="1" x14ac:dyDescent="0.3">
      <c r="A694" s="1" t="str">
        <f ca="1">IFERROR(__xludf.DUMMYFUNCTION("ARRAYFORMULA(GOOGLETRANSLATE(A:A, ""auto"", ""fa""))
"),"در این شب، تو اجازه دادی دوستانت برایت بمیرند...")</f>
        <v>در این شب، تو اجازه دادی دوستانت برایت بمیرند...</v>
      </c>
    </row>
    <row r="695" spans="1:1" ht="15.75" customHeight="1" x14ac:dyDescent="0.3">
      <c r="A695" s="1" t="str">
        <f ca="1">IFERROR(__xludf.DUMMYFUNCTION("ARRAYFORMULA(GOOGLETRANSLATE(A:A, ""auto"", ""fa""))
"),"...به جای اینکه خودت با من روبرو شوی.")</f>
        <v>...به جای اینکه خودت با من روبرو شوی.</v>
      </c>
    </row>
    <row r="696" spans="1:1" ht="15.75" customHeight="1" x14ac:dyDescent="0.3">
      <c r="A696" s="1" t="str">
        <f ca="1">IFERROR(__xludf.DUMMYFUNCTION("ARRAYFORMULA(GOOGLETRANSLATE(A:A, ""auto"", ""fa""))
"),"هیچ ننگ و رسوایی بزرگتری وجود ندارد.")</f>
        <v>هیچ ننگ و رسوایی بزرگتری وجود ندارد.</v>
      </c>
    </row>
    <row r="697" spans="1:1" ht="15.75" customHeight="1" x14ac:dyDescent="0.3">
      <c r="A697" s="1" t="str">
        <f ca="1">IFERROR(__xludf.DUMMYFUNCTION("ARRAYFORMULA(GOOGLETRANSLATE(A:A, ""auto"", ""fa""))
"),"به من در جنگل ممنوعه بپیوندید و با سرنوشت خود روبرو شوید.")</f>
        <v>به من در جنگل ممنوعه بپیوندید و با سرنوشت خود روبرو شوید.</v>
      </c>
    </row>
    <row r="698" spans="1:1" ht="15.75" customHeight="1" x14ac:dyDescent="0.3">
      <c r="A698" s="1" t="str">
        <f ca="1">IFERROR(__xludf.DUMMYFUNCTION("ARRAYFORMULA(GOOGLETRANSLATE(A:A, ""auto"", ""fa""))
"),"اگر این کار را نکنید...")</f>
        <v>اگر این کار را نکنید...</v>
      </c>
    </row>
    <row r="699" spans="1:1" ht="15.75" customHeight="1" x14ac:dyDescent="0.3">
      <c r="A699" s="1" t="str">
        <f ca="1">IFERROR(__xludf.DUMMYFUNCTION("ARRAYFORMULA(GOOGLETRANSLATE(A:A, ""auto"", ""fa""))
"),"...من تک تک مردان، زنان و کودکان را خواهم کشت...")</f>
        <v>...من تک تک مردان، زنان و کودکان را خواهم کشت...</v>
      </c>
    </row>
    <row r="700" spans="1:1" ht="15.75" customHeight="1" x14ac:dyDescent="0.3">
      <c r="A700" s="1" t="str">
        <f ca="1">IFERROR(__xludf.DUMMYFUNCTION("ARRAYFORMULA(GOOGLETRANSLATE(A:A, ""auto"", ""fa""))
"),"...که سعی می‌کند تو را از من پنهان کند.")</f>
        <v>...که سعی می‌کند تو را از من پنهان کند.</v>
      </c>
    </row>
    <row r="701" spans="1:1" ht="15.75" customHeight="1" x14ac:dyDescent="0.3">
      <c r="A701" s="1" t="str">
        <f ca="1">IFERROR(__xludf.DUMMYFUNCTION("ARRAYFORMULA(GOOGLETRANSLATE(A:A, ""auto"", ""fa""))
"),"&lt;font color=""#FF0000""&gt;هرمیون:&lt;/font&gt; بقیه کجان؟")</f>
        <v>&lt;font color="#FF0000"&gt;هرمیون:&lt;/font&gt; بقیه کجان؟</v>
      </c>
    </row>
    <row r="702" spans="1:1" ht="15.75" customHeight="1" x14ac:dyDescent="0.3">
      <c r="A702" s="1" t="str">
        <f ca="1">IFERROR(__xludf.DUMMYFUNCTION("ARRAYFORMULA(GOOGLETRANSLATE(A:A, ""auto"", ""fa""))
"),"هری.")</f>
        <v>هری.</v>
      </c>
    </row>
    <row r="703" spans="1:1" ht="15.75" customHeight="1" x14ac:dyDescent="0.3">
      <c r="A703" s="1" t="str">
        <f ca="1">IFERROR(__xludf.DUMMYFUNCTION("ARRAYFORMULA(GOOGLETRANSLATE(A:A, ""auto"", ""fa""))
"),"&lt;font color=""#FF0000""&gt;اسپروت:&lt;/font&gt; اوه، بیخیال.
چی شده؟")</f>
        <v>&lt;font color="#FF0000"&gt;اسپروت:&lt;/font&gt; اوه، بیخیال.
چی شده؟</v>
      </c>
    </row>
    <row r="704" spans="1:1" ht="15.75" customHeight="1" x14ac:dyDescent="0.3">
      <c r="A704" s="1" t="str">
        <f ca="1">IFERROR(__xludf.DUMMYFUNCTION("ARRAYFORMULA(GOOGLETRANSLATE(A:A, ""auto"", ""fa""))
"),"&lt;font color=""#FF0000""&gt;تری‌لاونی:&lt;/font&gt; اوه، او مُرد.")</f>
        <v>&lt;font color="#FF0000"&gt;تری‌لاونی:&lt;/font&gt; اوه، او مُرد.</v>
      </c>
    </row>
    <row r="705" spans="1:1" ht="15.75" customHeight="1" x14ac:dyDescent="0.3">
      <c r="A705" s="1" t="str">
        <f ca="1">IFERROR(__xludf.DUMMYFUNCTION("ARRAYFORMULA(GOOGLETRANSLATE(A:A, ""auto"", ""fa""))
"),"آنجا، او رفته است.")</f>
        <v>آنجا، او رفته است.</v>
      </c>
    </row>
    <row r="706" spans="1:1" ht="15.75" customHeight="1" x14ac:dyDescent="0.3">
      <c r="A706" s="1" t="str">
        <f ca="1">IFERROR(__xludf.DUMMYFUNCTION("ARRAYFORMULA(GOOGLETRANSLATE(A:A, ""auto"", ""fa""))
"),"&lt;font color=""#FFFF00""&gt;(گریه)&lt;/font&gt;")</f>
        <v>&lt;font color="#FFFF00"&gt;(گریه)&lt;/font&gt;</v>
      </c>
    </row>
    <row r="707" spans="1:1" ht="15.75" customHeight="1" x14ac:dyDescent="0.3">
      <c r="A707" s="1" t="str">
        <f ca="1">IFERROR(__xludf.DUMMYFUNCTION("ARRAYFORMULA(GOOGLETRANSLATE(A:A, ""auto"", ""fa""))
"),"&lt;font color=""#FF0000""&gt;پتونیا:&lt;/font&gt; عجب!")</f>
        <v>&lt;font color="#FF0000"&gt;پتونیا:&lt;/font&gt; عجب!</v>
      </c>
    </row>
    <row r="708" spans="1:1" ht="15.75" customHeight="1" x14ac:dyDescent="0.3">
      <c r="A708" s="1" t="str">
        <f ca="1">IFERROR(__xludf.DUMMYFUNCTION("ARRAYFORMULA(GOOGLETRANSLATE(A:A, ""auto"", ""fa""))
"),"بیا اینجا.")</f>
        <v>بیا اینجا.</v>
      </c>
    </row>
    <row r="709" spans="1:1" ht="15.75" customHeight="1" x14ac:dyDescent="0.3">
      <c r="A709" s="1" t="str">
        <f ca="1">IFERROR(__xludf.DUMMYFUNCTION("ARRAYFORMULA(GOOGLETRANSLATE(A:A, ""auto"", ""fa""))
"),"به مامان میگم. تو یه عوضی هستی.")</f>
        <v>به مامان میگم. تو یه عوضی هستی.</v>
      </c>
    </row>
    <row r="710" spans="1:1" ht="15.75" customHeight="1" x14ac:dyDescent="0.3">
      <c r="A710" s="1" t="str">
        <f ca="1">IFERROR(__xludf.DUMMYFUNCTION("ARRAYFORMULA(GOOGLETRANSLATE(A:A, ""auto"", ""fa""))
"),"تو یه خل ​​و چلی هستی لیلی!")</f>
        <v>تو یه خل ​​و چلی هستی لیلی!</v>
      </c>
    </row>
    <row r="711" spans="1:1" ht="15.75" customHeight="1" x14ac:dyDescent="0.3">
      <c r="A711" s="1" t="str">
        <f ca="1">IFERROR(__xludf.DUMMYFUNCTION("ARRAYFORMULA(GOOGLETRANSLATE(A:A, ""auto"", ""fa""))
"),"بیا اینجا.")</f>
        <v>بیا اینجا.</v>
      </c>
    </row>
    <row r="712" spans="1:1" ht="15.75" customHeight="1" x14ac:dyDescent="0.3">
      <c r="A712" s="1" t="str">
        <f ca="1">IFERROR(__xludf.DUMMYFUNCTION("ARRAYFORMULA(GOOGLETRANSLATE(A:A, ""auto"", ""fa""))
"),"&lt;font color=""#FF0000""&gt;اسنیپ:&lt;/font&gt; اون حسودی می‌کنه چون اون معمولیه و تو خاصی.")</f>
        <v>&lt;font color="#FF0000"&gt;اسنیپ:&lt;/font&gt; اون حسودی می‌کنه چون اون معمولیه و تو خاصی.</v>
      </c>
    </row>
    <row r="713" spans="1:1" ht="15.75" customHeight="1" x14ac:dyDescent="0.3">
      <c r="A713" s="1" t="str">
        <f ca="1">IFERROR(__xludf.DUMMYFUNCTION("ARRAYFORMULA(GOOGLETRANSLATE(A:A, ""auto"", ""fa""))
"),"&lt;font color=""#FF0000""&gt;لیلی:&lt;/font&gt; خیلی بدجنسی، سوروس.")</f>
        <v>&lt;font color="#FF0000"&gt;لیلی:&lt;/font&gt; خیلی بدجنسی، سوروس.</v>
      </c>
    </row>
    <row r="714" spans="1:1" ht="15.75" customHeight="1" x14ac:dyDescent="0.3">
      <c r="A714" s="1" t="str">
        <f ca="1">IFERROR(__xludf.DUMMYFUNCTION("ARRAYFORMULA(GOOGLETRANSLATE(A:A, ""auto"", ""fa""))
"),"&lt;font color=""#FFFF00""&gt;(لیلی می‌خندد)&lt;/font&gt;")</f>
        <v>&lt;font color="#FFFF00"&gt;(لیلی می‌خندد)&lt;/font&gt;</v>
      </c>
    </row>
    <row r="715" spans="1:1" ht="15.75" customHeight="1" x14ac:dyDescent="0.3">
      <c r="A715" s="1" t="str">
        <f ca="1">IFERROR(__xludf.DUMMYFUNCTION("ARRAYFORMULA(GOOGLETRANSLATE(A:A, ""auto"", ""fa""))
"),"&lt;font color=""#FF0000""&gt;کلاه گروه‌بندی:&lt;/font&gt; گریفیندور!")</f>
        <v>&lt;font color="#FF0000"&gt;کلاه گروه‌بندی:&lt;/font&gt; گریفیندور!</v>
      </c>
    </row>
    <row r="716" spans="1:1" ht="15.75" customHeight="1" x14ac:dyDescent="0.3">
      <c r="A716" s="1" t="str">
        <f ca="1">IFERROR(__xludf.DUMMYFUNCTION("ARRAYFORMULA(GOOGLETRANSLATE(A:A, ""auto"", ""fa""))
"),"&lt;font color=""#FFFF00""&gt;(تشویق دانش‌آموزان)&lt;/font&gt;")</f>
        <v>&lt;font color="#FFFF00"&gt;(تشویق دانش‌آموزان)&lt;/font&gt;</v>
      </c>
    </row>
    <row r="717" spans="1:1" ht="15.75" customHeight="1" x14ac:dyDescent="0.3">
      <c r="A717" s="1" t="str">
        <f ca="1">IFERROR(__xludf.DUMMYFUNCTION("ARRAYFORMULA(GOOGLETRANSLATE(A:A, ""auto"", ""fa""))
"),"سلام. من جیمز هستم.
سلام. من لیلی هستم.")</f>
        <v>سلام. من جیمز هستم.
سلام. من لیلی هستم.</v>
      </c>
    </row>
    <row r="718" spans="1:1" ht="15.75" customHeight="1" x14ac:dyDescent="0.3">
      <c r="A718" s="1" t="str">
        <f ca="1">IFERROR(__xludf.DUMMYFUNCTION("ARRAYFORMULA(GOOGLETRANSLATE(A:A, ""auto"", ""fa""))
"),"اسنیپ: درست مثل پدرت. تنبل. متکبر.")</f>
        <v>اسنیپ: درست مثل پدرت. تنبل. متکبر.</v>
      </c>
    </row>
    <row r="719" spans="1:1" ht="15.75" customHeight="1" x14ac:dyDescent="0.3">
      <c r="A719" s="1" t="str">
        <f ca="1">IFERROR(__xludf.DUMMYFUNCTION("ARRAYFORMULA(GOOGLETRANSLATE(A:A, ""auto"", ""fa""))
"),"&lt;font color=""#FF0000""&gt;هری:&lt;/font&gt; حتی یک کلمه هم علیه پدرم حرف نزن.")</f>
        <v>&lt;font color="#FF0000"&gt;هری:&lt;/font&gt; حتی یک کلمه هم علیه پدرم حرف نزن.</v>
      </c>
    </row>
    <row r="720" spans="1:1" ht="15.75" customHeight="1" x14ac:dyDescent="0.3">
      <c r="A720" s="1" t="str">
        <f ca="1">IFERROR(__xludf.DUMMYFUNCTION("ARRAYFORMULA(GOOGLETRANSLATE(A:A, ""auto"", ""fa""))
"),"&lt;font color=""#FF0000""&gt;ترلانی:&lt;/font&gt; خون ریخته خواهد شد...")</f>
        <v>&lt;font color="#FF0000"&gt;ترلانی:&lt;/font&gt; خون ریخته خواهد شد...</v>
      </c>
    </row>
    <row r="721" spans="1:1" ht="15.75" customHeight="1" x14ac:dyDescent="0.3">
      <c r="A721" s="1" t="str">
        <f ca="1">IFERROR(__xludf.DUMMYFUNCTION("ARRAYFORMULA(GOOGLETRANSLATE(A:A, ""auto"", ""fa""))
"),"... و بنده و ارباب بار دیگر به هم خواهند پیوست.")</f>
        <v>... و بنده و ارباب بار دیگر به هم خواهند پیوست.</v>
      </c>
    </row>
    <row r="722" spans="1:1" ht="15.75" customHeight="1" x14ac:dyDescent="0.3">
      <c r="A722" s="1" t="str">
        <f ca="1">IFERROR(__xludf.DUMMYFUNCTION("ARRAYFORMULA(GOOGLETRANSLATE(A:A, ""auto"", ""fa""))
"),"&lt;font color=""#FF0000""&gt;ولدمورت:&lt;/font&gt; سوروس.")</f>
        <v>&lt;font color="#FF0000"&gt;ولدمورت:&lt;/font&gt; سوروس.</v>
      </c>
    </row>
    <row r="723" spans="1:1" ht="15.75" customHeight="1" x14ac:dyDescent="0.3">
      <c r="A723" s="1" t="str">
        <f ca="1">IFERROR(__xludf.DUMMYFUNCTION("ARRAYFORMULA(GOOGLETRANSLATE(A:A, ""auto"", ""fa""))
"),"اسنیپ: نه. منو نکش.")</f>
        <v>اسنیپ: نه. منو نکش.</v>
      </c>
    </row>
    <row r="724" spans="1:1" ht="15.75" customHeight="1" x14ac:dyDescent="0.3">
      <c r="A724" s="1" t="str">
        <f ca="1">IFERROR(__xludf.DUMMYFUNCTION("ARRAYFORMULA(GOOGLETRANSLATE(A:A, ""auto"", ""fa""))
"),"دامبلدور: پیشگویی به یک زن اشاره نکرده بود.")</f>
        <v>دامبلدور: پیشگویی به یک زن اشاره نکرده بود.</v>
      </c>
    </row>
    <row r="725" spans="1:1" ht="15.75" customHeight="1" x14ac:dyDescent="0.3">
      <c r="A725" s="1" t="str">
        <f ca="1">IFERROR(__xludf.DUMMYFUNCTION("ARRAYFORMULA(GOOGLETRANSLATE(A:A, ""auto"", ""fa""))
"),"از پسری صحبت می‌کرد که آخرهای ماه جولای به دنیا آمده بود.")</f>
        <v>از پسری صحبت می‌کرد که آخرهای ماه جولای به دنیا آمده بود.</v>
      </c>
    </row>
    <row r="726" spans="1:1" ht="15.75" customHeight="1" x14ac:dyDescent="0.3">
      <c r="A726" s="1" t="str">
        <f ca="1">IFERROR(__xludf.DUMMYFUNCTION("ARRAYFORMULA(GOOGLETRANSLATE(A:A, ""auto"", ""fa""))
"),"بله، اما او فکر می‌کند پسرش است.")</f>
        <v>بله، اما او فکر می‌کند پسرش است.</v>
      </c>
    </row>
    <row r="727" spans="1:1" ht="15.75" customHeight="1" x14ac:dyDescent="0.3">
      <c r="A727" s="1" t="str">
        <f ca="1">IFERROR(__xludf.DUMMYFUNCTION("ARRAYFORMULA(GOOGLETRANSLATE(A:A, ""auto"", ""fa""))
"),"او قصد دارد اکنون آنها را شکار کند، بکشد.")</f>
        <v>او قصد دارد اکنون آنها را شکار کند، بکشد.</v>
      </c>
    </row>
    <row r="728" spans="1:1" ht="15.75" customHeight="1" x14ac:dyDescent="0.3">
      <c r="A728" s="1" t="str">
        <f ca="1">IFERROR(__xludf.DUMMYFUNCTION("ARRAYFORMULA(GOOGLETRANSLATE(A:A, ""auto"", ""fa""))
"),"پنهانش کن. همه‌شان را پنهان کن. التماست می‌کنم.")</f>
        <v>پنهانش کن. همه‌شان را پنهان کن. التماست می‌کنم.</v>
      </c>
    </row>
    <row r="729" spans="1:1" ht="15.75" customHeight="1" x14ac:dyDescent="0.3">
      <c r="A729" s="1" t="str">
        <f ca="1">IFERROR(__xludf.DUMMYFUNCTION("ARRAYFORMULA(GOOGLETRANSLATE(A:A, ""auto"", ""fa""))
"),"دامبلدور: در عوض چی بهم میدی، سوروس؟")</f>
        <v>دامبلدور: در عوض چی بهم میدی، سوروس؟</v>
      </c>
    </row>
    <row r="730" spans="1:1" ht="15.75" customHeight="1" x14ac:dyDescent="0.3">
      <c r="A730" s="1" t="str">
        <f ca="1">IFERROR(__xludf.DUMMYFUNCTION("ARRAYFORMULA(GOOGLETRANSLATE(A:A, ""auto"", ""fa""))
"),"هر چیزی.")</f>
        <v>هر چیزی.</v>
      </c>
    </row>
    <row r="731" spans="1:1" ht="15.75" customHeight="1" x14ac:dyDescent="0.3">
      <c r="A731" s="1" t="str">
        <f ca="1">IFERROR(__xludf.DUMMYFUNCTION("ARRAYFORMULA(GOOGLETRANSLATE(A:A, ""auto"", ""fa""))
"),"&lt;font color=""#FF0000""&gt;لیلی:&lt;/font&gt; هری. هری، تو خیلی دوست داشته می‌شی. خیلی دوست داشته می‌شی.")</f>
        <v>&lt;font color="#FF0000"&gt;لیلی:&lt;/font&gt; هری. هری، تو خیلی دوست داشته می‌شی. خیلی دوست داشته می‌شی.</v>
      </c>
    </row>
    <row r="732" spans="1:1" ht="15.75" customHeight="1" x14ac:dyDescent="0.3">
      <c r="A732" s="1" t="str">
        <f ca="1">IFERROR(__xludf.DUMMYFUNCTION("ARRAYFORMULA(GOOGLETRANSLATE(A:A, ""auto"", ""fa""))
"),"هری، مامان دوستت داره.")</f>
        <v>هری، مامان دوستت داره.</v>
      </c>
    </row>
    <row r="733" spans="1:1" ht="15.75" customHeight="1" x14ac:dyDescent="0.3">
      <c r="A733" s="1" t="str">
        <f ca="1">IFERROR(__xludf.DUMMYFUNCTION("ARRAYFORMULA(GOOGLETRANSLATE(A:A, ""auto"", ""fa""))
"),"دادا دوستت داره.")</f>
        <v>دادا دوستت داره.</v>
      </c>
    </row>
    <row r="734" spans="1:1" ht="15.75" customHeight="1" x14ac:dyDescent="0.3">
      <c r="A734" s="1" t="str">
        <f ca="1">IFERROR(__xludf.DUMMYFUNCTION("ARRAYFORMULA(GOOGLETRANSLATE(A:A, ""auto"", ""fa""))
"),"هری، مواظب خودت باش.")</f>
        <v>هری، مواظب خودت باش.</v>
      </c>
    </row>
    <row r="735" spans="1:1" ht="15.75" customHeight="1" x14ac:dyDescent="0.3">
      <c r="A735" s="1" t="str">
        <f ca="1">IFERROR(__xludf.DUMMYFUNCTION("ARRAYFORMULA(GOOGLETRANSLATE(A:A, ""auto"", ""fa""))
"),"قوی باش.")</f>
        <v>قوی باش.</v>
      </c>
    </row>
    <row r="736" spans="1:1" ht="15.75" customHeight="1" x14ac:dyDescent="0.3">
      <c r="A736" s="1" t="str">
        <f ca="1">IFERROR(__xludf.DUMMYFUNCTION("ARRAYFORMULA(GOOGLETRANSLATE(A:A, ""auto"", ""fa""))
"),"&lt;font color=""#FF0000""&gt;VOLDEMORT:&lt;/font&gt; Avada Kedavra!")</f>
        <v>&lt;font color="#FF0000"&gt;VOLDEMORT:&lt;/font&gt; Avada Kedavra!</v>
      </c>
    </row>
    <row r="737" spans="1:1" ht="15.75" customHeight="1" x14ac:dyDescent="0.3">
      <c r="A737" s="1" t="str">
        <f ca="1">IFERROR(__xludf.DUMMYFUNCTION("ARRAYFORMULA(GOOGLETRANSLATE(A:A, ""auto"", ""fa""))
"),"&lt;font color=""#FFFF00""&gt;(جیغ)&lt;/font&gt;")</f>
        <v>&lt;font color="#FFFF00"&gt;(جیغ)&lt;/font&gt;</v>
      </c>
    </row>
    <row r="738" spans="1:1" ht="15.75" customHeight="1" x14ac:dyDescent="0.3">
      <c r="A738" s="1" t="str">
        <f ca="1">IFERROR(__xludf.DUMMYFUNCTION("ARRAYFORMULA(GOOGLETRANSLATE(A:A, ""auto"", ""fa""))
"),"اسنیپ: تو گفتی که ازش محافظت می‌کنی.")</f>
        <v>اسنیپ: تو گفتی که ازش محافظت می‌کنی.</v>
      </c>
    </row>
    <row r="739" spans="1:1" ht="15.75" customHeight="1" x14ac:dyDescent="0.3">
      <c r="A739" s="1" t="str">
        <f ca="1">IFERROR(__xludf.DUMMYFUNCTION("ARRAYFORMULA(GOOGLETRANSLATE(A:A, ""auto"", ""fa""))
"),"دامبلدور: لیلی و جیمز به شخص اشتباهی، سوروس، اعتماد کردند.")</f>
        <v>دامبلدور: لیلی و جیمز به شخص اشتباهی، سوروس، اعتماد کردند.</v>
      </c>
    </row>
    <row r="740" spans="1:1" ht="15.75" customHeight="1" x14ac:dyDescent="0.3">
      <c r="A740" s="1" t="str">
        <f ca="1">IFERROR(__xludf.DUMMYFUNCTION("ARRAYFORMULA(GOOGLETRANSLATE(A:A, ""auto"", ""fa""))
"),"کمابیش مثل تو.")</f>
        <v>کمابیش مثل تو.</v>
      </c>
    </row>
    <row r="741" spans="1:1" ht="15.75" customHeight="1" x14ac:dyDescent="0.3">
      <c r="A741" s="1" t="str">
        <f ca="1">IFERROR(__xludf.DUMMYFUNCTION("ARRAYFORMULA(GOOGLETRANSLATE(A:A, ""auto"", ""fa""))
"),"پسر زنده می‌ماند.")</f>
        <v>پسر زنده می‌ماند.</v>
      </c>
    </row>
    <row r="742" spans="1:1" ht="15.75" customHeight="1" x14ac:dyDescent="0.3">
      <c r="A742" s="1" t="str">
        <f ca="1">IFERROR(__xludf.DUMMYFUNCTION("ARRAYFORMULA(GOOGLETRANSLATE(A:A, ""auto"", ""fa""))
"),"او به محافظت نیاز ندارد.
لرد سیاه رفته است.")</f>
        <v>او به محافظت نیاز ندارد.
لرد سیاه رفته است.</v>
      </c>
    </row>
    <row r="743" spans="1:1" ht="15.75" customHeight="1" x14ac:dyDescent="0.3">
      <c r="A743" s="1" t="str">
        <f ca="1">IFERROR(__xludf.DUMMYFUNCTION("ARRAYFORMULA(GOOGLETRANSLATE(A:A, ""auto"", ""fa""))
"),"ارباب تاریکی باز خواهد گشت.")</f>
        <v>ارباب تاریکی باز خواهد گشت.</v>
      </c>
    </row>
    <row r="744" spans="1:1" ht="15.75" customHeight="1" x14ac:dyDescent="0.3">
      <c r="A744" s="1" t="str">
        <f ca="1">IFERROR(__xludf.DUMMYFUNCTION("ARRAYFORMULA(GOOGLETRANSLATE(A:A, ""auto"", ""fa""))
"),"و وقتی این کار را بکند، پسر در خطر وحشتناکی قرار خواهد گرفت.")</f>
        <v>و وقتی این کار را بکند، پسر در خطر وحشتناکی قرار خواهد گرفت.</v>
      </c>
    </row>
    <row r="745" spans="1:1" ht="15.75" customHeight="1" x14ac:dyDescent="0.3">
      <c r="A745" s="1" t="str">
        <f ca="1">IFERROR(__xludf.DUMMYFUNCTION("ARRAYFORMULA(GOOGLETRANSLATE(A:A, ""auto"", ""fa""))
"),"او چشمان او را دارد.")</f>
        <v>او چشمان او را دارد.</v>
      </c>
    </row>
    <row r="746" spans="1:1" ht="15.75" customHeight="1" x14ac:dyDescent="0.3">
      <c r="A746" s="1" t="str">
        <f ca="1">IFERROR(__xludf.DUMMYFUNCTION("ARRAYFORMULA(GOOGLETRANSLATE(A:A, ""auto"", ""fa""))
"),"اگر واقعاً عاشقش بودی...")</f>
        <v>اگر واقعاً عاشقش بودی...</v>
      </c>
    </row>
    <row r="747" spans="1:1" ht="15.75" customHeight="1" x14ac:dyDescent="0.3">
      <c r="A747" s="1" t="str">
        <f ca="1">IFERROR(__xludf.DUMMYFUNCTION("ARRAYFORMULA(GOOGLETRANSLATE(A:A, ""auto"", ""fa""))
"),"هیچ کس نمی‌تواند بداند.")</f>
        <v>هیچ کس نمی‌تواند بداند.</v>
      </c>
    </row>
    <row r="748" spans="1:1" ht="15.75" customHeight="1" x14ac:dyDescent="0.3">
      <c r="A748" s="1" t="str">
        <f ca="1">IFERROR(__xludf.DUMMYFUNCTION("ARRAYFORMULA(GOOGLETRANSLATE(A:A, ""auto"", ""fa""))
"),"دامبلدور: که من هرگز نباید بهترین جنبه‌های تو را آشکار کنم، سوروس؟")</f>
        <v>دامبلدور: که من هرگز نباید بهترین جنبه‌های تو را آشکار کنم، سوروس؟</v>
      </c>
    </row>
    <row r="749" spans="1:1" ht="15.75" customHeight="1" x14ac:dyDescent="0.3">
      <c r="A749" s="1" t="str">
        <f ca="1">IFERROR(__xludf.DUMMYFUNCTION("ARRAYFORMULA(GOOGLETRANSLATE(A:A, ""auto"", ""fa""))
"),"&lt;font color=""#FF0000""&gt;اسنیپ:&lt;/font&gt;&lt;i&gt; حرف توئه.&lt;/i&gt;")</f>
        <v>&lt;font color="#FF0000"&gt;اسنیپ:&lt;/font&gt;&lt;i&gt; حرف توئه.&lt;/i&gt;</v>
      </c>
    </row>
    <row r="750" spans="1:1" ht="15.75" customHeight="1" x14ac:dyDescent="0.3">
      <c r="A750" s="1" t="str">
        <f ca="1">IFERROR(__xludf.DUMMYFUNCTION("ARRAYFORMULA(GOOGLETRANSLATE(A:A, ""auto"", ""fa""))
"),"دامبلدور: وقتی هر روز جونت رو برای محافظت از اون پسر به خطر میندازی؟")</f>
        <v>دامبلدور: وقتی هر روز جونت رو برای محافظت از اون پسر به خطر میندازی؟</v>
      </c>
    </row>
    <row r="751" spans="1:1" ht="15.75" customHeight="1" x14ac:dyDescent="0.3">
      <c r="A751" s="1" t="str">
        <f ca="1">IFERROR(__xludf.DUMMYFUNCTION("ARRAYFORMULA(GOOGLETRANSLATE(A:A, ""auto"", ""fa""))
"),"&lt;font color=""#FF0000""&gt;اسنیپ:&lt;/font&gt;&lt;i&gt; او هیچ استعداد قابل اندازه‌گیری ندارد، تکبر او با تکبر پدرش برابری می‌کند...&lt;/i&gt;")</f>
        <v>&lt;font color="#FF0000"&gt;اسنیپ:&lt;/font&gt;&lt;i&gt; او هیچ استعداد قابل اندازه‌گیری ندارد، تکبر او با تکبر پدرش برابری می‌کند...&lt;/i&gt;</v>
      </c>
    </row>
    <row r="752" spans="1:1" ht="15.75" customHeight="1" x14ac:dyDescent="0.3">
      <c r="A752" s="1" t="str">
        <f ca="1">IFERROR(__xludf.DUMMYFUNCTION("ARRAYFORMULA(GOOGLETRANSLATE(A:A, ""auto"", ""fa""))
"),"&lt;i&gt;... و به نظر می‌رسد که از شهرتش لذت می‌برد.&lt;/i&gt;")</f>
        <v>&lt;i&gt;... و به نظر می‌رسد که از شهرتش لذت می‌برد.&lt;/i&gt;</v>
      </c>
    </row>
    <row r="753" spans="1:1" ht="15.75" customHeight="1" x14ac:dyDescent="0.3">
      <c r="A753" s="1" t="str">
        <f ca="1">IFERROR(__xludf.DUMMYFUNCTION("ARRAYFORMULA(GOOGLETRANSLATE(A:A, ""auto"", ""fa""))
"),"&lt;font color=""#FF0000""&gt;هری:&lt;/font&gt;&lt;i&gt;حتی یک کلمه هم علیه پدرم حرف نزن.&lt;/i&gt;")</f>
        <v>&lt;font color="#FF0000"&gt;هری:&lt;/font&gt;&lt;i&gt;حتی یک کلمه هم علیه پدرم حرف نزن.&lt;/i&gt;</v>
      </c>
    </row>
    <row r="754" spans="1:1" ht="15.75" customHeight="1" x14ac:dyDescent="0.3">
      <c r="A754" s="1" t="str">
        <f ca="1">IFERROR(__xludf.DUMMYFUNCTION("ARRAYFORMULA(GOOGLETRANSLATE(A:A, ""auto"", ""fa""))
"),"&lt;font color=""#FF0000""&gt;اسنیپ:&lt;/font&gt;&lt;i&gt;جیمز پاتر؟&lt;/i&gt;")</f>
        <v>&lt;font color="#FF0000"&gt;اسنیپ:&lt;/font&gt;&lt;i&gt;جیمز پاتر؟&lt;/i&gt;</v>
      </c>
    </row>
    <row r="755" spans="1:1" ht="15.75" customHeight="1" x14ac:dyDescent="0.3">
      <c r="A755" s="1" t="str">
        <f ca="1">IFERROR(__xludf.DUMMYFUNCTION("ARRAYFORMULA(GOOGLETRANSLATE(A:A, ""auto"", ""fa""))
"),"تنبل، متکبر.")</f>
        <v>تنبل، متکبر.</v>
      </c>
    </row>
    <row r="756" spans="1:1" ht="15.75" customHeight="1" x14ac:dyDescent="0.3">
      <c r="A756" s="1" t="str">
        <f ca="1">IFERROR(__xludf.DUMMYFUNCTION("ARRAYFORMULA(GOOGLETRANSLATE(A:A, ""auto"", ""fa""))
"),"&lt;font color=""#FF0000""&gt;هری:&lt;/font&gt;&lt;i&gt;پدرم مرد بزرگی بود.&lt;/i&gt;")</f>
        <v>&lt;font color="#FF0000"&gt;هری:&lt;/font&gt;&lt;i&gt;پدرم مرد بزرگی بود.&lt;/i&gt;</v>
      </c>
    </row>
    <row r="757" spans="1:1" ht="15.75" customHeight="1" x14ac:dyDescent="0.3">
      <c r="A757" s="1" t="str">
        <f ca="1">IFERROR(__xludf.DUMMYFUNCTION("ARRAYFORMULA(GOOGLETRANSLATE(A:A, ""auto"", ""fa""))
"),"پدرت یه خوک بود!")</f>
        <v>پدرت یه خوک بود!</v>
      </c>
    </row>
    <row r="758" spans="1:1" ht="15.75" customHeight="1" x14ac:dyDescent="0.3">
      <c r="A758" s="1" t="str">
        <f ca="1">IFERROR(__xludf.DUMMYFUNCTION("ARRAYFORMULA(GOOGLETRANSLATE(A:A, ""auto"", ""fa""))
"),"اسنیپ: بقیه‌ش رو بنوش.")</f>
        <v>اسنیپ: بقیه‌ش رو بنوش.</v>
      </c>
    </row>
    <row r="759" spans="1:1" ht="15.75" customHeight="1" x14ac:dyDescent="0.3">
      <c r="A759" s="1" t="str">
        <f ca="1">IFERROR(__xludf.DUMMYFUNCTION("ARRAYFORMULA(GOOGLETRANSLATE(A:A, ""auto"", ""fa""))
"),"فعلاً نفرین را در دستانت نگه خواهد داشت.")</f>
        <v>فعلاً نفرین را در دستانت نگه خواهد داشت.</v>
      </c>
    </row>
    <row r="760" spans="1:1" ht="15.75" customHeight="1" x14ac:dyDescent="0.3">
      <c r="A760" s="1" t="str">
        <f ca="1">IFERROR(__xludf.DUMMYFUNCTION("ARRAYFORMULA(GOOGLETRANSLATE(A:A, ""auto"", ""fa""))
"),"پخش میشه، آلبوس.")</f>
        <v>پخش میشه، آلبوس.</v>
      </c>
    </row>
    <row r="761" spans="1:1" ht="15.75" customHeight="1" x14ac:dyDescent="0.3">
      <c r="A761" s="1" t="str">
        <f ca="1">IFERROR(__xludf.DUMMYFUNCTION("ARRAYFORMULA(GOOGLETRANSLATE(A:A, ""auto"", ""fa""))
"),"دامبلدور: تا کی؟")</f>
        <v>دامبلدور: تا کی؟</v>
      </c>
    </row>
    <row r="762" spans="1:1" ht="15.75" customHeight="1" x14ac:dyDescent="0.3">
      <c r="A762" s="1" t="str">
        <f ca="1">IFERROR(__xludf.DUMMYFUNCTION("ARRAYFORMULA(GOOGLETRANSLATE(A:A, ""auto"", ""fa""))
"),"اسنیپ: شاید یک سال.")</f>
        <v>اسنیپ: شاید یک سال.</v>
      </c>
    </row>
    <row r="763" spans="1:1" ht="15.75" customHeight="1" x14ac:dyDescent="0.3">
      <c r="A763" s="1" t="str">
        <f ca="1">IFERROR(__xludf.DUMMYFUNCTION("ARRAYFORMULA(GOOGLETRANSLATE(A:A, ""auto"", ""fa""))
"),"منو نادیده نگیر، سوروس.")</f>
        <v>منو نادیده نگیر، سوروس.</v>
      </c>
    </row>
    <row r="764" spans="1:1" ht="15.75" customHeight="1" x14ac:dyDescent="0.3">
      <c r="A764" s="1" t="str">
        <f ca="1">IFERROR(__xludf.DUMMYFUNCTION("ARRAYFORMULA(GOOGLETRANSLATE(A:A, ""auto"", ""fa""))
"),"&lt;font color=""#FF0000""&gt;دراکو:&lt;/font&gt; هارمونی، شور و اشتیاق نکتر است.")</f>
        <v>&lt;font color="#FF0000"&gt;دراکو:&lt;/font&gt; هارمونی، شور و اشتیاق نکتر است.</v>
      </c>
    </row>
    <row r="765" spans="1:1" ht="15.75" customHeight="1" x14ac:dyDescent="0.3">
      <c r="A765" s="1" t="str">
        <f ca="1">IFERROR(__xludf.DUMMYFUNCTION("ARRAYFORMULA(GOOGLETRANSLATE(A:A, ""auto"", ""fa""))
"),"هر دوی ما می‌دانیم که لرد ولدمورت به پسر مالفوی دستور داده است که من را بکشد.")</f>
        <v>هر دوی ما می‌دانیم که لرد ولدمورت به پسر مالفوی دستور داده است که من را بکشد.</v>
      </c>
    </row>
    <row r="766" spans="1:1" ht="15.75" customHeight="1" x14ac:dyDescent="0.3">
      <c r="A766" s="1" t="str">
        <f ca="1">IFERROR(__xludf.DUMMYFUNCTION("ARRAYFORMULA(GOOGLETRANSLATE(A:A, ""auto"", ""fa""))
"),"اما اگر او شکست بخورد، باید فرض را بر این گذاشت که ارباب تاریکی...")</f>
        <v>اما اگر او شکست بخورد، باید فرض را بر این گذاشت که ارباب تاریکی...</v>
      </c>
    </row>
    <row r="767" spans="1:1" ht="15.75" customHeight="1" x14ac:dyDescent="0.3">
      <c r="A767" s="1" t="str">
        <f ca="1">IFERROR(__xludf.DUMMYFUNCTION("ARRAYFORMULA(GOOGLETRANSLATE(A:A, ""auto"", ""fa""))
"),"... به سوی تو باز خواهد گشت.")</f>
        <v>... به سوی تو باز خواهد گشت.</v>
      </c>
    </row>
    <row r="768" spans="1:1" ht="15.75" customHeight="1" x14ac:dyDescent="0.3">
      <c r="A768" s="1" t="str">
        <f ca="1">IFERROR(__xludf.DUMMYFUNCTION("ARRAYFORMULA(GOOGLETRANSLATE(A:A, ""auto"", ""fa""))
"),"تو باید کسی باشی که منو میکشه، سوروس.")</f>
        <v>تو باید کسی باشی که منو میکشه، سوروس.</v>
      </c>
    </row>
    <row r="769" spans="1:1" ht="15.75" customHeight="1" x14ac:dyDescent="0.3">
      <c r="A769" s="1" t="str">
        <f ca="1">IFERROR(__xludf.DUMMYFUNCTION("ARRAYFORMULA(GOOGLETRANSLATE(A:A, ""auto"", ""fa""))
"),"تنها راه همین است.")</f>
        <v>تنها راه همین است.</v>
      </c>
    </row>
    <row r="770" spans="1:1" ht="15.75" customHeight="1" x14ac:dyDescent="0.3">
      <c r="A770" s="1" t="str">
        <f ca="1">IFERROR(__xludf.DUMMYFUNCTION("ARRAYFORMULA(GOOGLETRANSLATE(A:A, ""auto"", ""fa""))
"),"تنها در آن صورت است که ارباب تاریکی کاملاً به شما اعتماد خواهد کرد.")</f>
        <v>تنها در آن صورت است که ارباب تاریکی کاملاً به شما اعتماد خواهد کرد.</v>
      </c>
    </row>
    <row r="771" spans="1:1" ht="15.75" customHeight="1" x14ac:dyDescent="0.3">
      <c r="A771" s="1" t="str">
        <f ca="1">IFERROR(__xludf.DUMMYFUNCTION("ARRAYFORMULA(GOOGLETRANSLATE(A:A, ""auto"", ""fa""))
"),"&lt;font color=""#FF0000""&gt;اسنیپ:&lt;/font&gt; کداورا را باز کن.")</f>
        <v>&lt;font color="#FF0000"&gt;اسنیپ:&lt;/font&gt; کداورا را باز کن.</v>
      </c>
    </row>
    <row r="772" spans="1:1" ht="15.75" customHeight="1" x14ac:dyDescent="0.3">
      <c r="A772" s="1" t="str">
        <f ca="1">IFERROR(__xludf.DUMMYFUNCTION("ARRAYFORMULA(GOOGLETRANSLATE(A:A, ""auto"", ""fa""))
"),"دامبلدور: زمانی خواهد رسید که باید به هری پاتر چیزی گفته شود.")</f>
        <v>دامبلدور: زمانی خواهد رسید که باید به هری پاتر چیزی گفته شود.</v>
      </c>
    </row>
    <row r="773" spans="1:1" ht="15.75" customHeight="1" x14ac:dyDescent="0.3">
      <c r="A773" s="1" t="str">
        <f ca="1">IFERROR(__xludf.DUMMYFUNCTION("ARRAYFORMULA(GOOGLETRANSLATE(A:A, ""auto"", ""fa""))
"),"اما باید صبر کنی تا ولدمورت در آسیب‌پذیرترین حالتش قرار بگیره.")</f>
        <v>اما باید صبر کنی تا ولدمورت در آسیب‌پذیرترین حالتش قرار بگیره.</v>
      </c>
    </row>
    <row r="774" spans="1:1" ht="15.75" customHeight="1" x14ac:dyDescent="0.3">
      <c r="A774" s="1" t="str">
        <f ca="1">IFERROR(__xludf.DUMMYFUNCTION("ARRAYFORMULA(GOOGLETRANSLATE(A:A, ""auto"", ""fa""))
"),"باید گفت چی؟")</f>
        <v>باید گفت چی؟</v>
      </c>
    </row>
    <row r="775" spans="1:1" ht="15.75" customHeight="1" x14ac:dyDescent="0.3">
      <c r="A775" s="1" t="str">
        <f ca="1">IFERROR(__xludf.DUMMYFUNCTION("ARRAYFORMULA(GOOGLETRANSLATE(A:A, ""auto"", ""fa""))
"),"دامبلدور: در شبی که لرد ولدمورت...")</f>
        <v>دامبلدور: در شبی که لرد ولدمورت...</v>
      </c>
    </row>
    <row r="776" spans="1:1" ht="15.75" customHeight="1" x14ac:dyDescent="0.3">
      <c r="A776" s="1" t="str">
        <f ca="1">IFERROR(__xludf.DUMMYFUNCTION("ARRAYFORMULA(GOOGLETRANSLATE(A:A, ""auto"", ""fa""))
"),"... به دره گودریک رفت تا هری را بکشد...")</f>
        <v>... به دره گودریک رفت تا هری را بکشد...</v>
      </c>
    </row>
    <row r="777" spans="1:1" ht="15.75" customHeight="1" x14ac:dyDescent="0.3">
      <c r="A777" s="1" t="str">
        <f ca="1">IFERROR(__xludf.DUMMYFUNCTION("ARRAYFORMULA(GOOGLETRANSLATE(A:A, ""auto"", ""fa""))
"),"... و لیلی پاتر خودش را بین آنها انداخت ...")</f>
        <v>... و لیلی پاتر خودش را بین آنها انداخت ...</v>
      </c>
    </row>
    <row r="778" spans="1:1" ht="15.75" customHeight="1" x14ac:dyDescent="0.3">
      <c r="A778" s="1" t="str">
        <f ca="1">IFERROR(__xludf.DUMMYFUNCTION("ARRAYFORMULA(GOOGLETRANSLATE(A:A, ""auto"", ""fa""))
"),"...نفرین دوباره اوج گرفت.")</f>
        <v>...نفرین دوباره اوج گرفت.</v>
      </c>
    </row>
    <row r="779" spans="1:1" ht="15.75" customHeight="1" x14ac:dyDescent="0.3">
      <c r="A779" s="1" t="str">
        <f ca="1">IFERROR(__xludf.DUMMYFUNCTION("ARRAYFORMULA(GOOGLETRANSLATE(A:A, ""auto"", ""fa""))
"),"وقتی آن اتفاق افتاد، بخشی از روح ولدمورت...")</f>
        <v>وقتی آن اتفاق افتاد، بخشی از روح ولدمورت...</v>
      </c>
    </row>
    <row r="780" spans="1:1" ht="15.75" customHeight="1" x14ac:dyDescent="0.3">
      <c r="A780" s="1" t="str">
        <f ca="1">IFERROR(__xludf.DUMMYFUNCTION("ARRAYFORMULA(GOOGLETRANSLATE(A:A, ""auto"", ""fa""))
"),"...خودش را به تنها موجود زنده‌ای که می‌توانست پیدا کند، چسباند:")</f>
        <v>...خودش را به تنها موجود زنده‌ای که می‌توانست پیدا کند، چسباند:</v>
      </c>
    </row>
    <row r="781" spans="1:1" ht="15.75" customHeight="1" x14ac:dyDescent="0.3">
      <c r="A781" s="1" t="str">
        <f ca="1">IFERROR(__xludf.DUMMYFUNCTION("ARRAYFORMULA(GOOGLETRANSLATE(A:A, ""auto"", ""fa""))
"),"خودِ هری.")</f>
        <v>خودِ هری.</v>
      </c>
    </row>
    <row r="782" spans="1:1" ht="15.75" customHeight="1" x14ac:dyDescent="0.3">
      <c r="A782" s="1" t="str">
        <f ca="1">IFERROR(__xludf.DUMMYFUNCTION("ARRAYFORMULA(GOOGLETRANSLATE(A:A, ""auto"", ""fa""))
"),"یه دلیلی هست که هری می‌تونه با مارها صحبت کنه.")</f>
        <v>یه دلیلی هست که هری می‌تونه با مارها صحبت کنه.</v>
      </c>
    </row>
    <row r="783" spans="1:1" ht="15.75" customHeight="1" x14ac:dyDescent="0.3">
      <c r="A783" s="1" t="str">
        <f ca="1">IFERROR(__xludf.DUMMYFUNCTION("ARRAYFORMULA(GOOGLETRANSLATE(A:A, ""auto"", ""fa""))
"),"یه دلیلی وجود داره که اون می‌تونه به ذهن لرد ولدمورت نگاه کنه.")</f>
        <v>یه دلیلی وجود داره که اون می‌تونه به ذهن لرد ولدمورت نگاه کنه.</v>
      </c>
    </row>
    <row r="784" spans="1:1" ht="15.75" customHeight="1" x14ac:dyDescent="0.3">
      <c r="A784" s="1" t="str">
        <f ca="1">IFERROR(__xludf.DUMMYFUNCTION("ARRAYFORMULA(GOOGLETRANSLATE(A:A, ""auto"", ""fa""))
"),"بخشی از ولدمورت درون او زندگی می‌کند.")</f>
        <v>بخشی از ولدمورت درون او زندگی می‌کند.</v>
      </c>
    </row>
    <row r="785" spans="1:1" ht="15.75" customHeight="1" x14ac:dyDescent="0.3">
      <c r="A785" s="1" t="str">
        <f ca="1">IFERROR(__xludf.DUMMYFUNCTION("ARRAYFORMULA(GOOGLETRANSLATE(A:A, ""auto"", ""fa""))
"),"پس وقتی زمانش فرا برسد...")</f>
        <v>پس وقتی زمانش فرا برسد...</v>
      </c>
    </row>
    <row r="786" spans="1:1" ht="15.75" customHeight="1" x14ac:dyDescent="0.3">
      <c r="A786" s="1" t="str">
        <f ca="1">IFERROR(__xludf.DUMMYFUNCTION("ARRAYFORMULA(GOOGLETRANSLATE(A:A, ""auto"", ""fa""))
"),"... پسر باید بمیرد؟")</f>
        <v>... پسر باید بمیرد؟</v>
      </c>
    </row>
    <row r="787" spans="1:1" ht="15.75" customHeight="1" x14ac:dyDescent="0.3">
      <c r="A787" s="1" t="str">
        <f ca="1">IFERROR(__xludf.DUMMYFUNCTION("ARRAYFORMULA(GOOGLETRANSLATE(A:A, ""auto"", ""fa""))
"),"بله. بله.")</f>
        <v>بله. بله.</v>
      </c>
    </row>
    <row r="788" spans="1:1" ht="15.75" customHeight="1" x14ac:dyDescent="0.3">
      <c r="A788" s="1" t="str">
        <f ca="1">IFERROR(__xludf.DUMMYFUNCTION("ARRAYFORMULA(GOOGLETRANSLATE(A:A, ""auto"", ""fa""))
"),"او باید بمیرد.")</f>
        <v>او باید بمیرد.</v>
      </c>
    </row>
    <row r="789" spans="1:1" ht="15.75" customHeight="1" x14ac:dyDescent="0.3">
      <c r="A789" s="1" t="str">
        <f ca="1">IFERROR(__xludf.DUMMYFUNCTION("ARRAYFORMULA(GOOGLETRANSLATE(A:A, ""auto"", ""fa""))
"),"تو او را زنده نگه داشته‌ای تا بتواند در لحظه مناسب بمیرد.")</f>
        <v>تو او را زنده نگه داشته‌ای تا بتواند در لحظه مناسب بمیرد.</v>
      </c>
    </row>
    <row r="790" spans="1:1" ht="15.75" customHeight="1" x14ac:dyDescent="0.3">
      <c r="A790" s="1" t="str">
        <f ca="1">IFERROR(__xludf.DUMMYFUNCTION("ARRAYFORMULA(GOOGLETRANSLATE(A:A, ""auto"", ""fa""))
"),"تو اونو مثل یه خوک برای سلاخی بزرگ کردی.")</f>
        <v>تو اونو مثل یه خوک برای سلاخی بزرگ کردی.</v>
      </c>
    </row>
    <row r="791" spans="1:1" ht="15.75" customHeight="1" x14ac:dyDescent="0.3">
      <c r="A791" s="1" t="str">
        <f ca="1">IFERROR(__xludf.DUMMYFUNCTION("ARRAYFORMULA(GOOGLETRANSLATE(A:A, ""auto"", ""fa""))
"),"حالا بهم نگو که دیگه به ​​پسره اهمیت میدی؟")</f>
        <v>حالا بهم نگو که دیگه به ​​پسره اهمیت میدی؟</v>
      </c>
    </row>
    <row r="792" spans="1:1" ht="15.75" customHeight="1" x14ac:dyDescent="0.3">
      <c r="A792" s="1" t="str">
        <f ca="1">IFERROR(__xludf.DUMMYFUNCTION("ARRAYFORMULA(GOOGLETRANSLATE(A:A, ""auto"", ""fa""))
"),"اسنیپ: من منتظر پاترونوس هستم.")</f>
        <v>اسنیپ: من منتظر پاترونوس هستم.</v>
      </c>
    </row>
    <row r="793" spans="1:1" ht="15.75" customHeight="1" x14ac:dyDescent="0.3">
      <c r="A793" s="1" t="str">
        <f ca="1">IFERROR(__xludf.DUMMYFUNCTION("ARRAYFORMULA(GOOGLETRANSLATE(A:A, ""auto"", ""fa""))
"),"لیلی")</f>
        <v>لیلی</v>
      </c>
    </row>
    <row r="794" spans="1:1" ht="15.75" customHeight="1" x14ac:dyDescent="0.3">
      <c r="A794" s="1" t="str">
        <f ca="1">IFERROR(__xludf.DUMMYFUNCTION("ARRAYFORMULA(GOOGLETRANSLATE(A:A, ""auto"", ""fa""))
"),"بعد از این همه مدت؟")</f>
        <v>بعد از این همه مدت؟</v>
      </c>
    </row>
    <row r="795" spans="1:1" ht="15.75" customHeight="1" x14ac:dyDescent="0.3">
      <c r="A795" s="1" t="str">
        <f ca="1">IFERROR(__xludf.DUMMYFUNCTION("ARRAYFORMULA(GOOGLETRANSLATE(A:A, ""auto"", ""fa""))
"),"همیشه.")</f>
        <v>همیشه.</v>
      </c>
    </row>
    <row r="796" spans="1:1" ht="15.75" customHeight="1" x14ac:dyDescent="0.3">
      <c r="A796" s="1" t="str">
        <f ca="1">IFERROR(__xludf.DUMMYFUNCTION("ARRAYFORMULA(GOOGLETRANSLATE(A:A, ""auto"", ""fa""))
"),"پس وقتی زمانش فرا برسد...")</f>
        <v>پس وقتی زمانش فرا برسد...</v>
      </c>
    </row>
    <row r="797" spans="1:1" ht="15.75" customHeight="1" x14ac:dyDescent="0.3">
      <c r="A797" s="1" t="str">
        <f ca="1">IFERROR(__xludf.DUMMYFUNCTION("ARRAYFORMULA(GOOGLETRANSLATE(A:A, ""auto"", ""fa""))
"),"... پسر باید بمیرد؟")</f>
        <v>... پسر باید بمیرد؟</v>
      </c>
    </row>
    <row r="798" spans="1:1" ht="15.75" customHeight="1" x14ac:dyDescent="0.3">
      <c r="A798" s="1" t="str">
        <f ca="1">IFERROR(__xludf.DUMMYFUNCTION("ARRAYFORMULA(GOOGLETRANSLATE(A:A, ""auto"", ""fa""))
"),"بله. او باید بمیرد.")</f>
        <v>بله. او باید بمیرد.</v>
      </c>
    </row>
    <row r="799" spans="1:1" ht="15.75" customHeight="1" x14ac:dyDescent="0.3">
      <c r="A799" s="1" t="str">
        <f ca="1">IFERROR(__xludf.DUMMYFUNCTION("ARRAYFORMULA(GOOGLETRANSLATE(A:A, ""auto"", ""fa""))
"),"و خود ولدمورت باید این کار را انجام دهد.")</f>
        <v>و خود ولدمورت باید این کار را انجام دهد.</v>
      </c>
    </row>
    <row r="800" spans="1:1" ht="15.75" customHeight="1" x14ac:dyDescent="0.3">
      <c r="A800" s="1" t="str">
        <f ca="1">IFERROR(__xludf.DUMMYFUNCTION("ARRAYFORMULA(GOOGLETRANSLATE(A:A, ""auto"", ""fa""))
"),"این ضروری است.")</f>
        <v>این ضروری است.</v>
      </c>
    </row>
    <row r="801" spans="1:1" ht="15.75" customHeight="1" x14ac:dyDescent="0.3">
      <c r="A801" s="1" t="str">
        <f ca="1">IFERROR(__xludf.DUMMYFUNCTION("ARRAYFORMULA(GOOGLETRANSLATE(A:A, ""auto"", ""fa""))
"),"&lt;font color=""#FF0000""&gt;هرمیون:&lt;/font&gt; کجا بودی؟")</f>
        <v>&lt;font color="#FF0000"&gt;هرمیون:&lt;/font&gt; کجا بودی؟</v>
      </c>
    </row>
    <row r="802" spans="1:1" ht="15.75" customHeight="1" x14ac:dyDescent="0.3">
      <c r="A802" s="1" t="str">
        <f ca="1">IFERROR(__xludf.DUMMYFUNCTION("ARRAYFORMULA(GOOGLETRANSLATE(A:A, ""auto"", ""fa""))
"),"ما فکر کردیم رفتی جنگل. من الان دارم میرم اونجا.")</f>
        <v>ما فکر کردیم رفتی جنگل. من الان دارم میرم اونجا.</v>
      </c>
    </row>
    <row r="803" spans="1:1" ht="15.75" customHeight="1" x14ac:dyDescent="0.3">
      <c r="A803" s="1" t="str">
        <f ca="1">IFERROR(__xludf.DUMMYFUNCTION("ARRAYFORMULA(GOOGLETRANSLATE(A:A, ""auto"", ""fa""))
"),"&lt;font color=""#FF0000""&gt;رون:&lt;/font&gt; دیوونه شدی؟ نه.")</f>
        <v>&lt;font color="#FF0000"&gt;رون:&lt;/font&gt; دیوونه شدی؟ نه.</v>
      </c>
    </row>
    <row r="804" spans="1:1" ht="15.75" customHeight="1" x14ac:dyDescent="0.3">
      <c r="A804" s="1" t="str">
        <f ca="1">IFERROR(__xludf.DUMMYFUNCTION("ARRAYFORMULA(GOOGLETRANSLATE(A:A, ""auto"", ""fa""))
"),"تو نمیتونی خودت رو بهش بسپاری.")</f>
        <v>تو نمیتونی خودت رو بهش بسپاری.</v>
      </c>
    </row>
    <row r="805" spans="1:1" ht="15.75" customHeight="1" x14ac:dyDescent="0.3">
      <c r="A805" s="1" t="str">
        <f ca="1">IFERROR(__xludf.DUMMYFUNCTION("ARRAYFORMULA(GOOGLETRANSLATE(A:A, ""auto"", ""fa""))
"),"&lt;font color=""#FF0000""&gt;هرمیون:&lt;/font&gt; چی شده، هری؟")</f>
        <v>&lt;font color="#FF0000"&gt;هرمیون:&lt;/font&gt; چی شده، هری؟</v>
      </c>
    </row>
    <row r="806" spans="1:1" ht="15.75" customHeight="1" x14ac:dyDescent="0.3">
      <c r="A806" s="1" t="str">
        <f ca="1">IFERROR(__xludf.DUMMYFUNCTION("ARRAYFORMULA(GOOGLETRANSLATE(A:A, ""auto"", ""fa""))
"),"میدونی چیه؟ (or: میدونی چیه؟)")</f>
        <v>میدونی چیه؟ (or: میدونی چیه؟)</v>
      </c>
    </row>
    <row r="807" spans="1:1" ht="15.75" customHeight="1" x14ac:dyDescent="0.3">
      <c r="A807" s="1" t="str">
        <f ca="1">IFERROR(__xludf.DUMMYFUNCTION("ARRAYFORMULA(GOOGLETRANSLATE(A:A, ""auto"", ""fa""))
"),"یه دلیلی داره که صداشونو میشنوم...")</f>
        <v>یه دلیلی داره که صداشونو میشنوم...</v>
      </c>
    </row>
    <row r="808" spans="1:1" ht="15.75" customHeight="1" x14ac:dyDescent="0.3">
      <c r="A808" s="1" t="str">
        <f ca="1">IFERROR(__xludf.DUMMYFUNCTION("ARRAYFORMULA(GOOGLETRANSLATE(A:A, ""auto"", ""fa""))
"),"...هورکراکس‌ها.")</f>
        <v>...هورکراکس‌ها.</v>
      </c>
    </row>
    <row r="809" spans="1:1" ht="15.75" customHeight="1" x14ac:dyDescent="0.3">
      <c r="A809" s="1" t="str">
        <f ca="1">IFERROR(__xludf.DUMMYFUNCTION("ARRAYFORMULA(GOOGLETRANSLATE(A:A, ""auto"", ""fa""))
"),"فکر کنم مدتیه که می‌دونم.")</f>
        <v>فکر کنم مدتیه که می‌دونم.</v>
      </c>
    </row>
    <row r="810" spans="1:1" ht="15.75" customHeight="1" x14ac:dyDescent="0.3">
      <c r="A810" s="1" t="str">
        <f ca="1">IFERROR(__xludf.DUMMYFUNCTION("ARRAYFORMULA(GOOGLETRANSLATE(A:A, ""auto"", ""fa""))
"),"و فکر می‌کنم شما هم این کار را کرده‌اید.")</f>
        <v>و فکر می‌کنم شما هم این کار را کرده‌اید.</v>
      </c>
    </row>
    <row r="811" spans="1:1" ht="15.75" customHeight="1" x14ac:dyDescent="0.3">
      <c r="A811" s="1" t="str">
        <f ca="1">IFERROR(__xludf.DUMMYFUNCTION("ARRAYFORMULA(GOOGLETRANSLATE(A:A, ""auto"", ""fa""))
"),"من با تو میام. نه، مار را بکش.")</f>
        <v>من با تو میام. نه، مار را بکش.</v>
      </c>
    </row>
    <row r="812" spans="1:1" ht="15.75" customHeight="1" x14ac:dyDescent="0.3">
      <c r="A812" s="1" t="str">
        <f ca="1">IFERROR(__xludf.DUMMYFUNCTION("ARRAYFORMULA(GOOGLETRANSLATE(A:A, ""auto"", ""fa""))
"),"مار را بکش، بعد فقط خودش می‌ماند.")</f>
        <v>مار را بکش، بعد فقط خودش می‌ماند.</v>
      </c>
    </row>
    <row r="813" spans="1:1" ht="15.75" customHeight="1" x14ac:dyDescent="0.3">
      <c r="A813" s="1" t="str">
        <f ca="1">IFERROR(__xludf.DUMMYFUNCTION("ARRAYFORMULA(GOOGLETRANSLATE(A:A, ""auto"", ""fa""))
"),"من آماده‌ی مردن هستم.")</f>
        <v>من آماده‌ی مردن هستم.</v>
      </c>
    </row>
    <row r="814" spans="1:1" ht="15.75" customHeight="1" x14ac:dyDescent="0.3">
      <c r="A814" s="1" t="str">
        <f ca="1">IFERROR(__xludf.DUMMYFUNCTION("ARRAYFORMULA(GOOGLETRANSLATE(A:A, ""auto"", ""fa""))
"),"سنگ رستاخیز.")</f>
        <v>سنگ رستاخیز.</v>
      </c>
    </row>
    <row r="815" spans="1:1" ht="15.75" customHeight="1" x14ac:dyDescent="0.3">
      <c r="A815" s="1" t="str">
        <f ca="1">IFERROR(__xludf.DUMMYFUNCTION("ARRAYFORMULA(GOOGLETRANSLATE(A:A, ""auto"", ""fa""))
"),"خیلی شجاع بودی عزیزم.")</f>
        <v>خیلی شجاع بودی عزیزم.</v>
      </c>
    </row>
    <row r="816" spans="1:1" ht="15.75" customHeight="1" x14ac:dyDescent="0.3">
      <c r="A816" s="1" t="str">
        <f ca="1">IFERROR(__xludf.DUMMYFUNCTION("ARRAYFORMULA(GOOGLETRANSLATE(A:A, ""auto"", ""fa""))
"),"چرا اینجا هستی؟")</f>
        <v>چرا اینجا هستی؟</v>
      </c>
    </row>
    <row r="817" spans="1:1" ht="15.75" customHeight="1" x14ac:dyDescent="0.3">
      <c r="A817" s="1" t="str">
        <f ca="1">IFERROR(__xludf.DUMMYFUNCTION("ARRAYFORMULA(GOOGLETRANSLATE(A:A, ""auto"", ""fa""))
"),"همه شما؟")</f>
        <v>همه شما؟</v>
      </c>
    </row>
    <row r="818" spans="1:1" ht="15.75" customHeight="1" x14ac:dyDescent="0.3">
      <c r="A818" s="1" t="str">
        <f ca="1">IFERROR(__xludf.DUMMYFUNCTION("ARRAYFORMULA(GOOGLETRANSLATE(A:A, ""auto"", ""fa""))
"),"ما هرگز آنجا را ترک نکردیم.")</f>
        <v>ما هرگز آنجا را ترک نکردیم.</v>
      </c>
    </row>
    <row r="819" spans="1:1" ht="15.75" customHeight="1" x14ac:dyDescent="0.3">
      <c r="A819" s="1" t="str">
        <f ca="1">IFERROR(__xludf.DUMMYFUNCTION("ARRAYFORMULA(GOOGLETRANSLATE(A:A, ""auto"", ""fa""))
"),"آیا...؟")</f>
        <v>آیا...؟</v>
      </c>
    </row>
    <row r="820" spans="1:1" ht="15.75" customHeight="1" x14ac:dyDescent="0.3">
      <c r="A820" s="1" t="str">
        <f ca="1">IFERROR(__xludf.DUMMYFUNCTION("ARRAYFORMULA(GOOGLETRANSLATE(A:A, ""auto"", ""fa""))
"),"درد داره؟ (or: درد داره؟)")</f>
        <v>درد داره؟ (or: درد داره؟)</v>
      </c>
    </row>
    <row r="821" spans="1:1" ht="15.75" customHeight="1" x14ac:dyDescent="0.3">
      <c r="A821" s="1" t="str">
        <f ca="1">IFERROR(__xludf.DUMMYFUNCTION("ARRAYFORMULA(GOOGLETRANSLATE(A:A, ""auto"", ""fa""))
"),"در حال مرگ؟")</f>
        <v>در حال مرگ؟</v>
      </c>
    </row>
    <row r="822" spans="1:1" ht="15.75" customHeight="1" x14ac:dyDescent="0.3">
      <c r="A822" s="1" t="str">
        <f ca="1">IFERROR(__xludf.DUMMYFUNCTION("ARRAYFORMULA(GOOGLETRANSLATE(A:A, ""auto"", ""fa""))
"),"سریع‌تر از به خواب رفتن.")</f>
        <v>سریع‌تر از به خواب رفتن.</v>
      </c>
    </row>
    <row r="823" spans="1:1" ht="15.75" customHeight="1" x14ac:dyDescent="0.3">
      <c r="A823" s="1" t="str">
        <f ca="1">IFERROR(__xludf.DUMMYFUNCTION("ARRAYFORMULA(GOOGLETRANSLATE(A:A, ""auto"", ""fa""))
"),"تقریباً رسیدی، پسر.")</f>
        <v>تقریباً رسیدی، پسر.</v>
      </c>
    </row>
    <row r="824" spans="1:1" ht="15.75" customHeight="1" x14ac:dyDescent="0.3">
      <c r="A824" s="1" t="str">
        <f ca="1">IFERROR(__xludf.DUMMYFUNCTION("ARRAYFORMULA(GOOGLETRANSLATE(A:A, ""auto"", ""fa""))
"),"&lt;font color=""#FF0000""&gt;هری:&lt;/font&gt; متاسفم.")</f>
        <v>&lt;font color="#FF0000"&gt;هری:&lt;/font&gt; متاسفم.</v>
      </c>
    </row>
    <row r="825" spans="1:1" ht="15.75" customHeight="1" x14ac:dyDescent="0.3">
      <c r="A825" s="1" t="str">
        <f ca="1">IFERROR(__xludf.DUMMYFUNCTION("ARRAYFORMULA(GOOGLETRANSLATE(A:A, ""auto"", ""fa""))
"),"من هرگز نخواستم هیچ‌کدام از شما برای من بمیرید.")</f>
        <v>من هرگز نخواستم هیچ‌کدام از شما برای من بمیرید.</v>
      </c>
    </row>
    <row r="826" spans="1:1" ht="15.75" customHeight="1" x14ac:dyDescent="0.3">
      <c r="A826" s="1" t="str">
        <f ca="1">IFERROR(__xludf.DUMMYFUNCTION("ARRAYFORMULA(GOOGLETRANSLATE(A:A, ""auto"", ""fa""))
"),"و، ریموس، پسرت...")</f>
        <v>و، ریموس، پسرت...</v>
      </c>
    </row>
    <row r="827" spans="1:1" ht="15.75" customHeight="1" x14ac:dyDescent="0.3">
      <c r="A827" s="1" t="str">
        <f ca="1">IFERROR(__xludf.DUMMYFUNCTION("ARRAYFORMULA(GOOGLETRANSLATE(A:A, ""auto"", ""fa""))
"),"دیگران به او خواهند گفت که پدر و مادرش برای چه چیزی مردند.")</f>
        <v>دیگران به او خواهند گفت که پدر و مادرش برای چه چیزی مردند.</v>
      </c>
    </row>
    <row r="828" spans="1:1" ht="15.75" customHeight="1" x14ac:dyDescent="0.3">
      <c r="A828" s="1" t="str">
        <f ca="1">IFERROR(__xludf.DUMMYFUNCTION("ARRAYFORMULA(GOOGLETRANSLATE(A:A, ""auto"", ""fa""))
"),"یه روزی بالاخره میفهمه")</f>
        <v>یه روزی بالاخره میفهمه</v>
      </c>
    </row>
    <row r="829" spans="1:1" ht="15.75" customHeight="1" x14ac:dyDescent="0.3">
      <c r="A829" s="1" t="str">
        <f ca="1">IFERROR(__xludf.DUMMYFUNCTION("ARRAYFORMULA(GOOGLETRANSLATE(A:A, ""auto"", ""fa""))
"),"با من خواهی ماند؟ (با من خواهی ماند؟)")</f>
        <v>با من خواهی ماند؟ (با من خواهی ماند؟)</v>
      </c>
    </row>
    <row r="830" spans="1:1" ht="15.75" customHeight="1" x14ac:dyDescent="0.3">
      <c r="A830" s="1" t="str">
        <f ca="1">IFERROR(__xludf.DUMMYFUNCTION("ARRAYFORMULA(GOOGLETRANSLATE(A:A, ""auto"", ""fa""))
"),"تا آخر.")</f>
        <v>تا آخر.</v>
      </c>
    </row>
    <row r="831" spans="1:1" ht="15.75" customHeight="1" x14ac:dyDescent="0.3">
      <c r="A831" s="1" t="str">
        <f ca="1">IFERROR(__xludf.DUMMYFUNCTION("ARRAYFORMULA(GOOGLETRANSLATE(A:A, ""auto"", ""fa""))
"),"و او قادر به دیدن تو نخواهد بود؟")</f>
        <v>و او قادر به دیدن تو نخواهد بود؟</v>
      </c>
    </row>
    <row r="832" spans="1:1" ht="15.75" customHeight="1" x14ac:dyDescent="0.3">
      <c r="A832" s="1" t="str">
        <f ca="1">IFERROR(__xludf.DUMMYFUNCTION("ARRAYFORMULA(GOOGLETRANSLATE(A:A, ""auto"", ""fa""))
"),"&lt;font color=""#FF0000""&gt;سیریوس:&lt;/font&gt; نه.")</f>
        <v>&lt;font color="#FF0000"&gt;سیریوس:&lt;/font&gt; نه.</v>
      </c>
    </row>
    <row r="833" spans="1:1" ht="15.75" customHeight="1" x14ac:dyDescent="0.3">
      <c r="A833" s="1" t="str">
        <f ca="1">IFERROR(__xludf.DUMMYFUNCTION("ARRAYFORMULA(GOOGLETRANSLATE(A:A, ""auto"", ""fa""))
"),"ما اینجاییم، می‌بینی.")</f>
        <v>ما اینجاییم، می‌بینی.</v>
      </c>
    </row>
    <row r="834" spans="1:1" ht="15.75" customHeight="1" x14ac:dyDescent="0.3">
      <c r="A834" s="1" t="str">
        <f ca="1">IFERROR(__xludf.DUMMYFUNCTION("ARRAYFORMULA(GOOGLETRANSLATE(A:A, ""auto"", ""fa""))
"),"نزدیک من بمون.")</f>
        <v>نزدیک من بمون.</v>
      </c>
    </row>
    <row r="835" spans="1:1" ht="15.75" customHeight="1" x14ac:dyDescent="0.3">
      <c r="A835" s="1" t="str">
        <f ca="1">IFERROR(__xludf.DUMMYFUNCTION("ARRAYFORMULA(GOOGLETRANSLATE(A:A, ""auto"", ""fa""))
"),"همیشه.")</f>
        <v>همیشه.</v>
      </c>
    </row>
    <row r="836" spans="1:1" ht="15.75" customHeight="1" x14ac:dyDescent="0.3">
      <c r="A836" s="1" t="str">
        <f ca="1">IFERROR(__xludf.DUMMYFUNCTION("ARRAYFORMULA(GOOGLETRANSLATE(A:A, ""auto"", ""fa""))
"),"&lt;font color=""#FF0000""&gt;مرگخوار:&lt;/font&gt; هیچ نشانه‌ای از او نیست، سرورم.")</f>
        <v>&lt;font color="#FF0000"&gt;مرگخوار:&lt;/font&gt; هیچ نشانه‌ای از او نیست، سرورم.</v>
      </c>
    </row>
    <row r="837" spans="1:1" ht="15.75" customHeight="1" x14ac:dyDescent="0.3">
      <c r="A837" s="1" t="str">
        <f ca="1">IFERROR(__xludf.DUMMYFUNCTION("ARRAYFORMULA(GOOGLETRANSLATE(A:A, ""auto"", ""fa""))
"),"&lt;font color=""#FF0000""&gt;ولدمورت:&lt;/font&gt; فکر می‌کردم او خواهد آمد.")</f>
        <v>&lt;font color="#FF0000"&gt;ولدمورت:&lt;/font&gt; فکر می‌کردم او خواهد آمد.</v>
      </c>
    </row>
    <row r="838" spans="1:1" ht="15.75" customHeight="1" x14ac:dyDescent="0.3">
      <c r="A838" s="1" t="str">
        <f ca="1">IFERROR(__xludf.DUMMYFUNCTION("ARRAYFORMULA(GOOGLETRANSLATE(A:A, ""auto"", ""fa""))
"),"هری؟ نه! اینجا چیکار می‌کنی؟")</f>
        <v>هری؟ نه! اینجا چیکار می‌کنی؟</v>
      </c>
    </row>
    <row r="839" spans="1:1" ht="15.75" customHeight="1" x14ac:dyDescent="0.3">
      <c r="A839" s="1" t="str">
        <f ca="1">IFERROR(__xludf.DUMMYFUNCTION("ARRAYFORMULA(GOOGLETRANSLATE(A:A, ""auto"", ""fa""))
"),"ساکت!")</f>
        <v>ساکت!</v>
      </c>
    </row>
    <row r="840" spans="1:1" ht="15.75" customHeight="1" x14ac:dyDescent="0.3">
      <c r="A840" s="1" t="str">
        <f ca="1">IFERROR(__xludf.DUMMYFUNCTION("ARRAYFORMULA(GOOGLETRANSLATE(A:A, ""auto"", ""fa""))
"),"هری پاتر.")</f>
        <v>هری پاتر.</v>
      </c>
    </row>
    <row r="841" spans="1:1" ht="15.75" customHeight="1" x14ac:dyDescent="0.3">
      <c r="A841" s="1" t="str">
        <f ca="1">IFERROR(__xludf.DUMMYFUNCTION("ARRAYFORMULA(GOOGLETRANSLATE(A:A, ""auto"", ""fa""))
"),"پسری که زنده ماند.")</f>
        <v>پسری که زنده ماند.</v>
      </c>
    </row>
    <row r="842" spans="1:1" ht="15.75" customHeight="1" x14ac:dyDescent="0.3">
      <c r="A842" s="1" t="str">
        <f ca="1">IFERROR(__xludf.DUMMYFUNCTION("ARRAYFORMULA(GOOGLETRANSLATE(A:A, ""auto"", ""fa""))
"),"بیا تا بمیری.")</f>
        <v>بیا تا بمیری.</v>
      </c>
    </row>
    <row r="843" spans="1:1" ht="15.75" customHeight="1" x14ac:dyDescent="0.3">
      <c r="A843" s="1" t="str">
        <f ca="1">IFERROR(__xludf.DUMMYFUNCTION("ARRAYFORMULA(GOOGLETRANSLATE(A:A, ""auto"", ""fa""))
"),"آوادا کداورا!")</f>
        <v>آوادا کداورا!</v>
      </c>
    </row>
    <row r="844" spans="1:1" ht="15.75" customHeight="1" x14ac:dyDescent="0.3">
      <c r="A844" s="1" t="str">
        <f ca="1">IFERROR(__xludf.DUMMYFUNCTION("ARRAYFORMULA(GOOGLETRANSLATE(A:A, ""auto"", ""fa""))
"),"&lt;font color=""#FFFF00""&gt;(مردی با صدای ضعیف نفس می‌کشد)&lt;/font&gt;")</f>
        <v>&lt;font color="#FFFF00"&gt;(مردی با صدای ضعیف نفس می‌کشد)&lt;/font&gt;</v>
      </c>
    </row>
    <row r="845" spans="1:1" ht="15.75" customHeight="1" x14ac:dyDescent="0.3">
      <c r="A845" s="1" t="str">
        <f ca="1">IFERROR(__xludf.DUMMYFUNCTION("ARRAYFORMULA(GOOGLETRANSLATE(A:A, ""auto"", ""fa""))
"),"دامبلدور: تو نمیتونی کمک کنی. هری...")</f>
        <v>دامبلدور: تو نمیتونی کمک کنی. هری...</v>
      </c>
    </row>
    <row r="846" spans="1:1" ht="15.75" customHeight="1" x14ac:dyDescent="0.3">
      <c r="A846" s="1" t="str">
        <f ca="1">IFERROR(__xludf.DUMMYFUNCTION("ARRAYFORMULA(GOOGLETRANSLATE(A:A, ""auto"", ""fa""))
"),"... تو پسر فوق‌العاده‌ای هستی.")</f>
        <v>... تو پسر فوق‌العاده‌ای هستی.</v>
      </c>
    </row>
    <row r="847" spans="1:1" ht="15.75" customHeight="1" x14ac:dyDescent="0.3">
      <c r="A847" s="1" t="str">
        <f ca="1">IFERROR(__xludf.DUMMYFUNCTION("ARRAYFORMULA(GOOGLETRANSLATE(A:A, ""auto"", ""fa""))
"),"ای مرد شجاع، دلاور.")</f>
        <v>ای مرد شجاع، دلاور.</v>
      </c>
    </row>
    <row r="848" spans="1:1" ht="15.75" customHeight="1" x14ac:dyDescent="0.3">
      <c r="A848" s="1" t="str">
        <f ca="1">IFERROR(__xludf.DUMMYFUNCTION("ARRAYFORMULA(GOOGLETRANSLATE(A:A, ""auto"", ""fa""))
"),"بگذار پیاده برویم.")</f>
        <v>بگذار پیاده برویم.</v>
      </c>
    </row>
    <row r="849" spans="1:1" ht="15.75" customHeight="1" x14ac:dyDescent="0.3">
      <c r="A849" s="1" t="str">
        <f ca="1">IFERROR(__xludf.DUMMYFUNCTION("ARRAYFORMULA(GOOGLETRANSLATE(A:A, ""auto"", ""fa""))
"),"پروفسور، اون چیه؟")</f>
        <v>پروفسور، اون چیه؟</v>
      </c>
    </row>
    <row r="850" spans="1:1" ht="15.75" customHeight="1" x14ac:dyDescent="0.3">
      <c r="A850" s="1" t="str">
        <f ca="1">IFERROR(__xludf.DUMMYFUNCTION("ARRAYFORMULA(GOOGLETRANSLATE(A:A, ""auto"", ""fa""))
"),"چیزی فراتر از کمک هر دوی ما.")</f>
        <v>چیزی فراتر از کمک هر دوی ما.</v>
      </c>
    </row>
    <row r="851" spans="1:1" ht="15.75" customHeight="1" x14ac:dyDescent="0.3">
      <c r="A851" s="1" t="str">
        <f ca="1">IFERROR(__xludf.DUMMYFUNCTION("ARRAYFORMULA(GOOGLETRANSLATE(A:A, ""auto"", ""fa""))
"),"بخشی از ولدمورت که برای مرگ به اینجا فرستاده شده است.")</f>
        <v>بخشی از ولدمورت که برای مرگ به اینجا فرستاده شده است.</v>
      </c>
    </row>
    <row r="852" spans="1:1" ht="15.75" customHeight="1" x14ac:dyDescent="0.3">
      <c r="A852" s="1" t="str">
        <f ca="1">IFERROR(__xludf.DUMMYFUNCTION("ARRAYFORMULA(GOOGLETRANSLATE(A:A, ""auto"", ""fa""))
"),"و دقیقاً کجاییم؟")</f>
        <v>و دقیقاً کجاییم؟</v>
      </c>
    </row>
    <row r="853" spans="1:1" ht="15.75" customHeight="1" x14ac:dyDescent="0.3">
      <c r="A853" s="1" t="str">
        <f ca="1">IFERROR(__xludf.DUMMYFUNCTION("ARRAYFORMULA(GOOGLETRANSLATE(A:A, ""auto"", ""fa""))
"),"می‌خواستم این را از شما بپرسم. به نظر شما ما کجا هستیم؟")</f>
        <v>می‌خواستم این را از شما بپرسم. به نظر شما ما کجا هستیم؟</v>
      </c>
    </row>
    <row r="854" spans="1:1" ht="15.75" customHeight="1" x14ac:dyDescent="0.3">
      <c r="A854" s="1" t="str">
        <f ca="1">IFERROR(__xludf.DUMMYFUNCTION("ARRAYFORMULA(GOOGLETRANSLATE(A:A, ""auto"", ""fa""))
"),"خب...")</f>
        <v>خب...</v>
      </c>
    </row>
    <row r="855" spans="1:1" ht="15.75" customHeight="1" x14ac:dyDescent="0.3">
      <c r="A855" s="1" t="str">
        <f ca="1">IFERROR(__xludf.DUMMYFUNCTION("ARRAYFORMULA(GOOGLETRANSLATE(A:A, ""auto"", ""fa""))
"),"... شبیه ایستگاه کینگز کراس است.")</f>
        <v>... شبیه ایستگاه کینگز کراس است.</v>
      </c>
    </row>
    <row r="856" spans="1:1" ht="15.75" customHeight="1" x14ac:dyDescent="0.3">
      <c r="A856" s="1" t="str">
        <f ca="1">IFERROR(__xludf.DUMMYFUNCTION("ARRAYFORMULA(GOOGLETRANSLATE(A:A, ""auto"", ""fa""))
"),"فقط تمیزتر.")</f>
        <v>فقط تمیزتر.</v>
      </c>
    </row>
    <row r="857" spans="1:1" ht="15.75" customHeight="1" x14ac:dyDescent="0.3">
      <c r="A857" s="1" t="str">
        <f ca="1">IFERROR(__xludf.DUMMYFUNCTION("ARRAYFORMULA(GOOGLETRANSLATE(A:A, ""auto"", ""fa""))
"),"و بدون همه قطارها.")</f>
        <v>و بدون همه قطارها.</v>
      </c>
    </row>
    <row r="858" spans="1:1" ht="15.75" customHeight="1" x14ac:dyDescent="0.3">
      <c r="A858" s="1" t="str">
        <f ca="1">IFERROR(__xludf.DUMMYFUNCTION("ARRAYFORMULA(GOOGLETRANSLATE(A:A, ""auto"", ""fa""))
"),"کینگز کراس، درسته؟")</f>
        <v>کینگز کراس، درسته؟</v>
      </c>
    </row>
    <row r="859" spans="1:1" ht="15.75" customHeight="1" x14ac:dyDescent="0.3">
      <c r="A859" s="1" t="str">
        <f ca="1">IFERROR(__xludf.DUMMYFUNCTION("ARRAYFORMULA(GOOGLETRANSLATE(A:A, ""auto"", ""fa""))
"),"این، همانطور که می‌گویند، مهمانی شماست.")</f>
        <v>این، همانطور که می‌گویند، مهمانی شماست.</v>
      </c>
    </row>
    <row r="860" spans="1:1" ht="15.75" customHeight="1" x14ac:dyDescent="0.3">
      <c r="A860" s="1" t="str">
        <f ca="1">IFERROR(__xludf.DUMMYFUNCTION("ARRAYFORMULA(GOOGLETRANSLATE(A:A, ""auto"", ""fa""))
"),"انتظار دارم حالا متوجه شده باشی که تو و ولدمورت...")</f>
        <v>انتظار دارم حالا متوجه شده باشی که تو و ولدمورت...</v>
      </c>
    </row>
    <row r="861" spans="1:1" ht="15.75" customHeight="1" x14ac:dyDescent="0.3">
      <c r="A861" s="1" t="str">
        <f ca="1">IFERROR(__xludf.DUMMYFUNCTION("ARRAYFORMULA(GOOGLETRANSLATE(A:A, ""auto"", ""fa""))
"),"... چیزی غیر از سرنوشت آنها را به هم متصل کرده است...")</f>
        <v>... چیزی غیر از سرنوشت آنها را به هم متصل کرده است...</v>
      </c>
    </row>
    <row r="862" spans="1:1" ht="15.75" customHeight="1" x14ac:dyDescent="0.3">
      <c r="A862" s="1" t="str">
        <f ca="1">IFERROR(__xludf.DUMMYFUNCTION("ARRAYFORMULA(GOOGLETRANSLATE(A:A, ""auto"", ""fa""))
"),"... از آن شب در دره گودریک، آن همه سال پیش.")</f>
        <v>... از آن شب در دره گودریک، آن همه سال پیش.</v>
      </c>
    </row>
    <row r="863" spans="1:1" ht="15.75" customHeight="1" x14ac:dyDescent="0.3">
      <c r="A863" s="1" t="str">
        <f ca="1">IFERROR(__xludf.DUMMYFUNCTION("ARRAYFORMULA(GOOGLETRANSLATE(A:A, ""auto"", ""fa""))
"),"پس این درسته، آقا؟")</f>
        <v>پس این درسته، آقا؟</v>
      </c>
    </row>
    <row r="864" spans="1:1" ht="15.75" customHeight="1" x14ac:dyDescent="0.3">
      <c r="A864" s="1" t="str">
        <f ca="1">IFERROR(__xludf.DUMMYFUNCTION("ARRAYFORMULA(GOOGLETRANSLATE(A:A, ""auto"", ""fa""))
"),"بخشی از او درون من زندگی می‌کند، اینطور نیست؟")</f>
        <v>بخشی از او درون من زندگی می‌کند، اینطور نیست؟</v>
      </c>
    </row>
    <row r="865" spans="1:1" ht="15.75" customHeight="1" x14ac:dyDescent="0.3">
      <c r="A865" s="1" t="str">
        <f ca="1">IFERROR(__xludf.DUMMYFUNCTION("ARRAYFORMULA(GOOGLETRANSLATE(A:A, ""auto"", ""fa""))
"),"انجام داد.")</f>
        <v>انجام داد.</v>
      </c>
    </row>
    <row r="866" spans="1:1" ht="15.75" customHeight="1" x14ac:dyDescent="0.3">
      <c r="A866" s="1" t="str">
        <f ca="1">IFERROR(__xludf.DUMMYFUNCTION("ARRAYFORMULA(GOOGLETRANSLATE(A:A, ""auto"", ""fa""))
"),"لحظاتی پیش توسط خود ولدمورت نابود شد.")</f>
        <v>لحظاتی پیش توسط خود ولدمورت نابود شد.</v>
      </c>
    </row>
    <row r="867" spans="1:1" ht="15.75" customHeight="1" x14ac:dyDescent="0.3">
      <c r="A867" s="1" t="str">
        <f ca="1">IFERROR(__xludf.DUMMYFUNCTION("ARRAYFORMULA(GOOGLETRANSLATE(A:A, ""auto"", ""fa""))
"),"تو اون هورکراکسی بودی که اون هیچوقت قصد ساختنش رو نداشت، هری.")</f>
        <v>تو اون هورکراکسی بودی که اون هیچوقت قصد ساختنش رو نداشت، هری.</v>
      </c>
    </row>
    <row r="868" spans="1:1" ht="15.75" customHeight="1" x14ac:dyDescent="0.3">
      <c r="A868" s="1" t="str">
        <f ca="1">IFERROR(__xludf.DUMMYFUNCTION("ARRAYFORMULA(GOOGLETRANSLATE(A:A, ""auto"", ""fa""))
"),"باید برگردم، نه؟")</f>
        <v>باید برگردم، نه؟</v>
      </c>
    </row>
    <row r="869" spans="1:1" ht="15.75" customHeight="1" x14ac:dyDescent="0.3">
      <c r="A869" s="1" t="str">
        <f ca="1">IFERROR(__xludf.DUMMYFUNCTION("ARRAYFORMULA(GOOGLETRANSLATE(A:A, ""auto"", ""fa""))
"),"اوه. این به خودت بستگی داره.")</f>
        <v>اوه. این به خودت بستگی داره.</v>
      </c>
    </row>
    <row r="870" spans="1:1" ht="15.75" customHeight="1" x14ac:dyDescent="0.3">
      <c r="A870" s="1" t="str">
        <f ca="1">IFERROR(__xludf.DUMMYFUNCTION("ARRAYFORMULA(GOOGLETRANSLATE(A:A, ""auto"", ""fa""))
"),"من حق انتخاب دارم؟")</f>
        <v>من حق انتخاب دارم؟</v>
      </c>
    </row>
    <row r="871" spans="1:1" ht="15.75" customHeight="1" x14ac:dyDescent="0.3">
      <c r="A871" s="1" t="str">
        <f ca="1">IFERROR(__xludf.DUMMYFUNCTION("ARRAYFORMULA(GOOGLETRANSLATE(A:A, ""auto"", ""fa""))
"),"اوه، بله.")</f>
        <v>اوه، بله.</v>
      </c>
    </row>
    <row r="872" spans="1:1" ht="15.75" customHeight="1" x14ac:dyDescent="0.3">
      <c r="A872" s="1" t="str">
        <f ca="1">IFERROR(__xludf.DUMMYFUNCTION("ARRAYFORMULA(GOOGLETRANSLATE(A:A, ""auto"", ""fa""))
"),"ما تو کینگز کراس هستیم، میگی؟")</f>
        <v>ما تو کینگز کراس هستیم، میگی؟</v>
      </c>
    </row>
    <row r="873" spans="1:1" ht="15.75" customHeight="1" x14ac:dyDescent="0.3">
      <c r="A873" s="1" t="str">
        <f ca="1">IFERROR(__xludf.DUMMYFUNCTION("ARRAYFORMULA(GOOGLETRANSLATE(A:A, ""auto"", ""fa""))
"),"فکر می‌کنم، اگر خیلی مایل باشید، می‌توانید سوار قطار شوید.")</f>
        <v>فکر می‌کنم، اگر خیلی مایل باشید، می‌توانید سوار قطار شوید.</v>
      </c>
    </row>
    <row r="874" spans="1:1" ht="15.75" customHeight="1" x14ac:dyDescent="0.3">
      <c r="A874" s="1" t="str">
        <f ca="1">IFERROR(__xludf.DUMMYFUNCTION("ARRAYFORMULA(GOOGLETRANSLATE(A:A, ""auto"", ""fa""))
"),"و مرا به کجا خواهد برد؟")</f>
        <v>و مرا به کجا خواهد برد؟</v>
      </c>
    </row>
    <row r="875" spans="1:1" ht="15.75" customHeight="1" x14ac:dyDescent="0.3">
      <c r="A875" s="1" t="str">
        <f ca="1">IFERROR(__xludf.DUMMYFUNCTION("ARRAYFORMULA(GOOGLETRANSLATE(A:A, ""auto"", ""fa""))
"),"&lt;font color=""#FFFF00""&gt;(دامبلدور ریزریز می‌خندد)&lt;/font&gt;")</f>
        <v>&lt;font color="#FFFF00"&gt;(دامبلدور ریزریز می‌خندد)&lt;/font&gt;</v>
      </c>
    </row>
    <row r="876" spans="1:1" ht="15.75" customHeight="1" x14ac:dyDescent="0.3">
      <c r="A876" s="1" t="str">
        <f ca="1">IFERROR(__xludf.DUMMYFUNCTION("ARRAYFORMULA(GOOGLETRANSLATE(A:A, ""auto"", ""fa""))
"),"روشن.")</f>
        <v>روشن.</v>
      </c>
    </row>
    <row r="877" spans="1:1" ht="15.75" customHeight="1" x14ac:dyDescent="0.3">
      <c r="A877" s="1" t="str">
        <f ca="1">IFERROR(__xludf.DUMMYFUNCTION("ARRAYFORMULA(GOOGLETRANSLATE(A:A, ""auto"", ""fa""))
"),"&lt;font color=""#FFFF00""&gt;(صدای سوت قطار از دوردست به گوش می‌رسد)&lt;/font&gt;")</f>
        <v>&lt;font color="#FFFF00"&gt;(صدای سوت قطار از دوردست به گوش می‌رسد)&lt;/font&gt;</v>
      </c>
    </row>
    <row r="878" spans="1:1" ht="15.75" customHeight="1" x14ac:dyDescent="0.3">
      <c r="A878" s="1" t="str">
        <f ca="1">IFERROR(__xludf.DUMMYFUNCTION("ARRAYFORMULA(GOOGLETRANSLATE(A:A, ""auto"", ""fa""))
"),"ولدمورت چوبدستی ارشد را دارد.")</f>
        <v>ولدمورت چوبدستی ارشد را دارد.</v>
      </c>
    </row>
    <row r="879" spans="1:1" ht="15.75" customHeight="1" x14ac:dyDescent="0.3">
      <c r="A879" s="1" t="str">
        <f ca="1">IFERROR(__xludf.DUMMYFUNCTION("ARRAYFORMULA(GOOGLETRANSLATE(A:A, ""auto"", ""fa""))
"),"درست است.")</f>
        <v>درست است.</v>
      </c>
    </row>
    <row r="880" spans="1:1" ht="15.75" customHeight="1" x14ac:dyDescent="0.3">
      <c r="A880" s="1" t="str">
        <f ca="1">IFERROR(__xludf.DUMMYFUNCTION("ARRAYFORMULA(GOOGLETRANSLATE(A:A, ""auto"", ""fa""))
"),"و مار هنوز زنده است. بله.")</f>
        <v>و مار هنوز زنده است. بله.</v>
      </c>
    </row>
    <row r="881" spans="1:1" ht="15.75" customHeight="1" x14ac:dyDescent="0.3">
      <c r="A881" s="1" t="str">
        <f ca="1">IFERROR(__xludf.DUMMYFUNCTION("ARRAYFORMULA(GOOGLETRANSLATE(A:A, ""auto"", ""fa""))
"),"و من هیچ چیزی برای کشتنش ندارم.")</f>
        <v>و من هیچ چیزی برای کشتنش ندارم.</v>
      </c>
    </row>
    <row r="882" spans="1:1" ht="15.75" customHeight="1" x14ac:dyDescent="0.3">
      <c r="A882" s="1" t="str">
        <f ca="1">IFERROR(__xludf.DUMMYFUNCTION("ARRAYFORMULA(GOOGLETRANSLATE(A:A, ""auto"", ""fa""))
"),"هری، در هاگوارتز همیشه به کسانی که درخواست کمک کنند، کمک خواهد شد.")</f>
        <v>هری، در هاگوارتز همیشه به کسانی که درخواست کمک کنند، کمک خواهد شد.</v>
      </c>
    </row>
    <row r="883" spans="1:1" ht="15.75" customHeight="1" x14ac:dyDescent="0.3">
      <c r="A883" s="1" t="str">
        <f ca="1">IFERROR(__xludf.DUMMYFUNCTION("ARRAYFORMULA(GOOGLETRANSLATE(A:A, ""auto"", ""fa""))
"),"من همیشه به خاطر توانایی‌ام در تبدیل یک عبارت به جمله‌ی مناسب، به خودم افتخار کرده‌ام.")</f>
        <v>من همیشه به خاطر توانایی‌ام در تبدیل یک عبارت به جمله‌ی مناسب، به خودم افتخار کرده‌ام.</v>
      </c>
    </row>
    <row r="884" spans="1:1" ht="15.75" customHeight="1" x14ac:dyDescent="0.3">
      <c r="A884" s="1" t="str">
        <f ca="1">IFERROR(__xludf.DUMMYFUNCTION("ARRAYFORMULA(GOOGLETRANSLATE(A:A, ""auto"", ""fa""))
"),"کلمات، به نظر نه چندان فروتنانه‌ی من...")</f>
        <v>کلمات، به نظر نه چندان فروتنانه‌ی من...</v>
      </c>
    </row>
    <row r="885" spans="1:1" ht="15.75" customHeight="1" x14ac:dyDescent="0.3">
      <c r="A885" s="1" t="str">
        <f ca="1">IFERROR(__xludf.DUMMYFUNCTION("ARRAYFORMULA(GOOGLETRANSLATE(A:A, ""auto"", ""fa""))
"),"... پایان‌ناپذیرترین منبع جادوی ما ...")</f>
        <v>... پایان‌ناپذیرترین منبع جادوی ما ...</v>
      </c>
    </row>
    <row r="886" spans="1:1" ht="15.75" customHeight="1" x14ac:dyDescent="0.3">
      <c r="A886" s="1" t="str">
        <f ca="1">IFERROR(__xludf.DUMMYFUNCTION("ARRAYFORMULA(GOOGLETRANSLATE(A:A, ""auto"", ""fa""))
"),"... قادر به وارد کردن آسیب و همچنین درمان آن.")</f>
        <v>... قادر به وارد کردن آسیب و همچنین درمان آن.</v>
      </c>
    </row>
    <row r="887" spans="1:1" ht="15.75" customHeight="1" x14ac:dyDescent="0.3">
      <c r="A887" s="1" t="str">
        <f ca="1">IFERROR(__xludf.DUMMYFUNCTION("ARRAYFORMULA(GOOGLETRANSLATE(A:A, ""auto"", ""fa""))
"),"اما در این مورد، من جمله‌ی اولیه‌ام را به این صورت اصلاح می‌کنم:")</f>
        <v>اما در این مورد، من جمله‌ی اولیه‌ام را به این صورت اصلاح می‌کنم:</v>
      </c>
    </row>
    <row r="888" spans="1:1" ht="15.75" customHeight="1" x14ac:dyDescent="0.3">
      <c r="A888" s="1" t="str">
        <f ca="1">IFERROR(__xludf.DUMMYFUNCTION("ARRAYFORMULA(GOOGLETRANSLATE(A:A, ""auto"", ""fa""))
"),"در هاگوارتز، کمک همیشه به کسانی که لیاقتش را دارند، داده خواهد شد.")</f>
        <v>در هاگوارتز، کمک همیشه به کسانی که لیاقتش را دارند، داده خواهد شد.</v>
      </c>
    </row>
    <row r="889" spans="1:1" ht="15.75" customHeight="1" x14ac:dyDescent="0.3">
      <c r="A889" s="1" t="str">
        <f ca="1">IFERROR(__xludf.DUMMYFUNCTION("ARRAYFORMULA(GOOGLETRANSLATE(A:A, ""auto"", ""fa""))
"),"دلت برای مرده‌ها نسوزه، هری.")</f>
        <v>دلت برای مرده‌ها نسوزه، هری.</v>
      </c>
    </row>
    <row r="890" spans="1:1" ht="15.75" customHeight="1" x14ac:dyDescent="0.3">
      <c r="A890" s="1" t="str">
        <f ca="1">IFERROR(__xludf.DUMMYFUNCTION("ARRAYFORMULA(GOOGLETRANSLATE(A:A, ""auto"", ""fa""))
"),"حیف از زنده‌ها.")</f>
        <v>حیف از زنده‌ها.</v>
      </c>
    </row>
    <row r="891" spans="1:1" ht="15.75" customHeight="1" x14ac:dyDescent="0.3">
      <c r="A891" s="1" t="str">
        <f ca="1">IFERROR(__xludf.DUMMYFUNCTION("ARRAYFORMULA(GOOGLETRANSLATE(A:A, ""auto"", ""fa""))
"),"و بالاتر از همه، همه کسانی که بدون عشق زندگی می‌کنند.")</f>
        <v>و بالاتر از همه، همه کسانی که بدون عشق زندگی می‌کنند.</v>
      </c>
    </row>
    <row r="892" spans="1:1" ht="15.75" customHeight="1" x14ac:dyDescent="0.3">
      <c r="A892" s="1" t="str">
        <f ca="1">IFERROR(__xludf.DUMMYFUNCTION("ARRAYFORMULA(GOOGLETRANSLATE(A:A, ""auto"", ""fa""))
"),"پروفسور، پاترونوس مادرم یه ماده گوزن بود، مگه نه؟")</f>
        <v>پروفسور، پاترونوس مادرم یه ماده گوزن بود، مگه نه؟</v>
      </c>
    </row>
    <row r="893" spans="1:1" ht="15.75" customHeight="1" x14ac:dyDescent="0.3">
      <c r="A893" s="1" t="str">
        <f ca="1">IFERROR(__xludf.DUMMYFUNCTION("ARRAYFORMULA(GOOGLETRANSLATE(A:A, ""auto"", ""fa""))
"),"این همون چیزیه که پروفسور اسنیپ گفته.")</f>
        <v>این همون چیزیه که پروفسور اسنیپ گفته.</v>
      </c>
    </row>
    <row r="894" spans="1:1" ht="15.75" customHeight="1" x14ac:dyDescent="0.3">
      <c r="A894" s="1" t="str">
        <f ca="1">IFERROR(__xludf.DUMMYFUNCTION("ARRAYFORMULA(GOOGLETRANSLATE(A:A, ""auto"", ""fa""))
"),"کنجکاو کننده است، اینطور فکر نمی‌کنی؟")</f>
        <v>کنجکاو کننده است، اینطور فکر نمی‌کنی؟</v>
      </c>
    </row>
    <row r="895" spans="1:1" ht="15.75" customHeight="1" x14ac:dyDescent="0.3">
      <c r="A895" s="1" t="str">
        <f ca="1">IFERROR(__xludf.DUMMYFUNCTION("ARRAYFORMULA(GOOGLETRANSLATE(A:A, ""auto"", ""fa""))
"),"راستش، اگر در موردش فکر کنم، اصلاً عجیب به نظر نمی‌رسد.")</f>
        <v>راستش، اگر در موردش فکر کنم، اصلاً عجیب به نظر نمی‌رسد.</v>
      </c>
    </row>
    <row r="896" spans="1:1" ht="15.75" customHeight="1" x14ac:dyDescent="0.3">
      <c r="A896" s="1" t="str">
        <f ca="1">IFERROR(__xludf.DUMMYFUNCTION("ARRAYFORMULA(GOOGLETRANSLATE(A:A, ""auto"", ""fa""))
"),"من الان میرم، هری.")</f>
        <v>من الان میرم، هری.</v>
      </c>
    </row>
    <row r="897" spans="1:1" ht="15.75" customHeight="1" x14ac:dyDescent="0.3">
      <c r="A897" s="1" t="str">
        <f ca="1">IFERROR(__xludf.DUMMYFUNCTION("ARRAYFORMULA(GOOGLETRANSLATE(A:A, ""auto"", ""fa""))
"),"پروفسور؟")</f>
        <v>پروفسور؟</v>
      </c>
    </row>
    <row r="898" spans="1:1" ht="15.75" customHeight="1" x14ac:dyDescent="0.3">
      <c r="A898" s="1" t="str">
        <f ca="1">IFERROR(__xludf.DUMMYFUNCTION("ARRAYFORMULA(GOOGLETRANSLATE(A:A, ""auto"", ""fa""))
"),"آیا همه اینها واقعی است؟")</f>
        <v>آیا همه اینها واقعی است؟</v>
      </c>
    </row>
    <row r="899" spans="1:1" ht="15.75" customHeight="1" x14ac:dyDescent="0.3">
      <c r="A899" s="1" t="str">
        <f ca="1">IFERROR(__xludf.DUMMYFUNCTION("ARRAYFORMULA(GOOGLETRANSLATE(A:A, ""auto"", ""fa""))
"),"یعنی فقط تو سرم داره اتفاق میفته؟")</f>
        <v>یعنی فقط تو سرم داره اتفاق میفته؟</v>
      </c>
    </row>
    <row r="900" spans="1:1" ht="15.75" customHeight="1" x14ac:dyDescent="0.3">
      <c r="A900" s="1" t="str">
        <f ca="1">IFERROR(__xludf.DUMMYFUNCTION("ARRAYFORMULA(GOOGLETRANSLATE(A:A, ""auto"", ""fa""))
"),"معلومه که این اتفاق داره تو سرت می‌افته، هری.")</f>
        <v>معلومه که این اتفاق داره تو سرت می‌افته، هری.</v>
      </c>
    </row>
    <row r="901" spans="1:1" ht="15.75" customHeight="1" x14ac:dyDescent="0.3">
      <c r="A901" s="1" t="str">
        <f ca="1">IFERROR(__xludf.DUMMYFUNCTION("ARRAYFORMULA(GOOGLETRANSLATE(A:A, ""auto"", ""fa""))
"),"چرا باید این به این معنی باشد که واقعی نیست؟")</f>
        <v>چرا باید این به این معنی باشد که واقعی نیست؟</v>
      </c>
    </row>
    <row r="902" spans="1:1" ht="15.75" customHeight="1" x14ac:dyDescent="0.3">
      <c r="A902" s="1" t="str">
        <f ca="1">IFERROR(__xludf.DUMMYFUNCTION("ARRAYFORMULA(GOOGLETRANSLATE(A:A, ""auto"", ""fa""))
"),"پروفسور؟ من باید چه کار کنم؟")</f>
        <v>پروفسور؟ من باید چه کار کنم؟</v>
      </c>
    </row>
    <row r="903" spans="1:1" ht="15.75" customHeight="1" x14ac:dyDescent="0.3">
      <c r="A903" s="1" t="str">
        <f ca="1">IFERROR(__xludf.DUMMYFUNCTION("ARRAYFORMULA(GOOGLETRANSLATE(A:A, ""auto"", ""fa""))
"),"پروفسور؟")</f>
        <v>پروفسور؟</v>
      </c>
    </row>
    <row r="904" spans="1:1" ht="15.75" customHeight="1" x14ac:dyDescent="0.3">
      <c r="A904" s="1" t="str">
        <f ca="1">IFERROR(__xludf.DUMMYFUNCTION("ARRAYFORMULA(GOOGLETRANSLATE(A:A, ""auto"", ""fa""))
"),"&lt;font color=""#FF0000""&gt;بلاتریکس:&lt;/font&gt; سرورم؟")</f>
        <v>&lt;font color="#FF0000"&gt;بلاتریکس:&lt;/font&gt; سرورم؟</v>
      </c>
    </row>
    <row r="905" spans="1:1" ht="15.75" customHeight="1" x14ac:dyDescent="0.3">
      <c r="A905" s="1" t="str">
        <f ca="1">IFERROR(__xludf.DUMMYFUNCTION("ARRAYFORMULA(GOOGLETRANSLATE(A:A, ""auto"", ""fa""))
"),"پروردگارا، آیا آسیبی دیده‌اید؟ پروردگارا؟")</f>
        <v>پروردگارا، آیا آسیبی دیده‌اید؟ پروردگارا؟</v>
      </c>
    </row>
    <row r="906" spans="1:1" ht="15.75" customHeight="1" x14ac:dyDescent="0.3">
      <c r="A906" s="1" t="str">
        <f ca="1">IFERROR(__xludf.DUMMYFUNCTION("ARRAYFORMULA(GOOGLETRANSLATE(A:A, ""auto"", ""fa""))
"),"من به کمک تو احتیاجی ندارم.")</f>
        <v>من به کمک تو احتیاجی ندارم.</v>
      </c>
    </row>
    <row r="907" spans="1:1" ht="15.75" customHeight="1" x14ac:dyDescent="0.3">
      <c r="A907" s="1" t="str">
        <f ca="1">IFERROR(__xludf.DUMMYFUNCTION("ARRAYFORMULA(GOOGLETRANSLATE(A:A, ""auto"", ""fa""))
"),"&lt;font color=""#FF0000""&gt;بلاتریکس:&lt;/font&gt; نه. بیا.")</f>
        <v>&lt;font color="#FF0000"&gt;بلاتریکس:&lt;/font&gt; نه. بیا.</v>
      </c>
    </row>
    <row r="908" spans="1:1" ht="15.75" customHeight="1" x14ac:dyDescent="0.3">
      <c r="A908" s="1" t="str">
        <f ca="1">IFERROR(__xludf.DUMMYFUNCTION("ARRAYFORMULA(GOOGLETRANSLATE(A:A, ""auto"", ""fa""))
"),"پسر.")</f>
        <v>پسر.</v>
      </c>
    </row>
    <row r="909" spans="1:1" ht="15.75" customHeight="1" x14ac:dyDescent="0.3">
      <c r="A909" s="1" t="str">
        <f ca="1">IFERROR(__xludf.DUMMYFUNCTION("ARRAYFORMULA(GOOGLETRANSLATE(A:A, ""auto"", ""fa""))
"),"آیا او مرده است؟")</f>
        <v>آیا او مرده است؟</v>
      </c>
    </row>
    <row r="910" spans="1:1" ht="15.75" customHeight="1" x14ac:dyDescent="0.3">
      <c r="A910" s="1" t="str">
        <f ca="1">IFERROR(__xludf.DUMMYFUNCTION("ARRAYFORMULA(GOOGLETRANSLATE(A:A, ""auto"", ""fa""))
"),"&lt;font color=""#FFFF00""&gt;(زمزمه)&lt;/font&gt;
آیا او زنده است؟")</f>
        <v>&lt;font color="#FFFF00"&gt;(زمزمه)&lt;/font&gt;
آیا او زنده است؟</v>
      </c>
    </row>
    <row r="911" spans="1:1" ht="15.75" customHeight="1" x14ac:dyDescent="0.3">
      <c r="A911" s="1" t="str">
        <f ca="1">IFERROR(__xludf.DUMMYFUNCTION("ARRAYFORMULA(GOOGLETRANSLATE(A:A, ""auto"", ""fa""))
"),"دراکو، اون زنده‌ست؟")</f>
        <v>دراکو، اون زنده‌ست؟</v>
      </c>
    </row>
    <row r="912" spans="1:1" ht="15.75" customHeight="1" x14ac:dyDescent="0.3">
      <c r="A912" s="1" t="str">
        <f ca="1">IFERROR(__xludf.DUMMYFUNCTION("ARRAYFORMULA(GOOGLETRANSLATE(A:A, ""auto"", ""fa""))
"),"مرده.")</f>
        <v>مرده.</v>
      </c>
    </row>
    <row r="913" spans="1:1" ht="15.75" customHeight="1" x14ac:dyDescent="0.3">
      <c r="A913" s="1" t="str">
        <f ca="1">IFERROR(__xludf.DUMMYFUNCTION("ARRAYFORMULA(GOOGLETRANSLATE(A:A, ""auto"", ""fa""))
"),"&lt;font color=""#FFFF00""&gt;(صدایی)&lt;/font&gt;")</f>
        <v>&lt;font color="#FFFF00"&gt;(صدایی)&lt;/font&gt;</v>
      </c>
    </row>
    <row r="914" spans="1:1" ht="15.75" customHeight="1" x14ac:dyDescent="0.3">
      <c r="A914" s="1" t="str">
        <f ca="1">IFERROR(__xludf.DUMMYFUNCTION("ARRAYFORMULA(GOOGLETRANSLATE(A:A, ""auto"", ""fa""))
"),"جینی: اون کیه که هاگرید داره حملش می‌کنه؟")</f>
        <v>جینی: اون کیه که هاگرید داره حملش می‌کنه؟</v>
      </c>
    </row>
    <row r="915" spans="1:1" ht="15.75" customHeight="1" x14ac:dyDescent="0.3">
      <c r="A915" s="1" t="str">
        <f ca="1">IFERROR(__xludf.DUMMYFUNCTION("ARRAYFORMULA(GOOGLETRANSLATE(A:A, ""auto"", ""fa""))
"),"نویل، کیه؟")</f>
        <v>نویل، کیه؟</v>
      </c>
    </row>
    <row r="916" spans="1:1" ht="15.75" customHeight="1" x14ac:dyDescent="0.3">
      <c r="A916" s="1" t="str">
        <f ca="1">IFERROR(__xludf.DUMMYFUNCTION("ARRAYFORMULA(GOOGLETRANSLATE(A:A, ""auto"", ""fa""))
"),"&lt;font color=""#FF0000""&gt;ولدمورت:&lt;/font&gt; هری پاتر...")</f>
        <v>&lt;font color="#FF0000"&gt;ولدمورت:&lt;/font&gt; هری پاتر...</v>
      </c>
    </row>
    <row r="917" spans="1:1" ht="15.75" customHeight="1" x14ac:dyDescent="0.3">
      <c r="A917" s="1" t="str">
        <f ca="1">IFERROR(__xludf.DUMMYFUNCTION("ARRAYFORMULA(GOOGLETRANSLATE(A:A, ""auto"", ""fa""))
"),"... مرده است.")</f>
        <v>... مرده است.</v>
      </c>
    </row>
    <row r="918" spans="1:1" ht="15.75" customHeight="1" x14ac:dyDescent="0.3">
      <c r="A918" s="1" t="str">
        <f ca="1">IFERROR(__xludf.DUMMYFUNCTION("ARRAYFORMULA(GOOGLETRANSLATE(A:A, ""auto"", ""fa""))
"),"نه نه!")</f>
        <v>نه نه!</v>
      </c>
    </row>
    <row r="919" spans="1:1" ht="15.75" customHeight="1" x14ac:dyDescent="0.3">
      <c r="A919" s="1" t="str">
        <f ca="1">IFERROR(__xludf.DUMMYFUNCTION("ARRAYFORMULA(GOOGLETRANSLATE(A:A, ""auto"", ""fa""))
"),"&lt;font color=""#FF0000""&gt;ولدمورت:&lt;/font&gt; ساکت.")</f>
        <v>&lt;font color="#FF0000"&gt;ولدمورت:&lt;/font&gt; ساکت.</v>
      </c>
    </row>
    <row r="920" spans="1:1" ht="15.75" customHeight="1" x14ac:dyDescent="0.3">
      <c r="A920" s="1" t="str">
        <f ca="1">IFERROR(__xludf.DUMMYFUNCTION("ARRAYFORMULA(GOOGLETRANSLATE(A:A, ""auto"", ""fa""))
"),"دختره احمق.")</f>
        <v>دختره احمق.</v>
      </c>
    </row>
    <row r="921" spans="1:1" ht="15.75" customHeight="1" x14ac:dyDescent="0.3">
      <c r="A921" s="1" t="str">
        <f ca="1">IFERROR(__xludf.DUMMYFUNCTION("ARRAYFORMULA(GOOGLETRANSLATE(A:A, ""auto"", ""fa""))
"),"هری پاتر مرده است.")</f>
        <v>هری پاتر مرده است.</v>
      </c>
    </row>
    <row r="922" spans="1:1" ht="15.75" customHeight="1" x14ac:dyDescent="0.3">
      <c r="A922" s="1" t="str">
        <f ca="1">IFERROR(__xludf.DUMMYFUNCTION("ARRAYFORMULA(GOOGLETRANSLATE(A:A, ""auto"", ""fa""))
"),"از امروز به بعد، ایمانت را ثابت کن...")</f>
        <v>از امروز به بعد، ایمانت را ثابت کن...</v>
      </c>
    </row>
    <row r="923" spans="1:1" ht="15.75" customHeight="1" x14ac:dyDescent="0.3">
      <c r="A923" s="1" t="str">
        <f ca="1">IFERROR(__xludf.DUMMYFUNCTION("ARRAYFORMULA(GOOGLETRANSLATE(A:A, ""auto"", ""fa""))
"),"...درون من.")</f>
        <v>...درون من.</v>
      </c>
    </row>
    <row r="924" spans="1:1" ht="15.75" customHeight="1" x14ac:dyDescent="0.3">
      <c r="A924" s="1" t="str">
        <f ca="1">IFERROR(__xludf.DUMMYFUNCTION("ARRAYFORMULA(GOOGLETRANSLATE(A:A, ""auto"", ""fa""))
"),"هری پاتر مُرد!")</f>
        <v>هری پاتر مُرد!</v>
      </c>
    </row>
    <row r="925" spans="1:1" ht="15.75" customHeight="1" x14ac:dyDescent="0.3">
      <c r="A925" s="1" t="str">
        <f ca="1">IFERROR(__xludf.DUMMYFUNCTION("ARRAYFORMULA(GOOGLETRANSLATE(A:A, ""auto"", ""fa""))
"),"&lt;font color=""#FFFF00""&gt;(خنده ی همه)&lt;/font&gt;")</f>
        <v>&lt;font color="#FFFF00"&gt;(خنده ی همه)&lt;/font&gt;</v>
      </c>
    </row>
    <row r="926" spans="1:1" ht="15.75" customHeight="1" x14ac:dyDescent="0.3">
      <c r="A926" s="1" t="str">
        <f ca="1">IFERROR(__xludf.DUMMYFUNCTION("ARRAYFORMULA(GOOGLETRANSLATE(A:A, ""auto"", ""fa""))
"),"و حالا وقتشه که خودت رو معرفی کنی.")</f>
        <v>و حالا وقتشه که خودت رو معرفی کنی.</v>
      </c>
    </row>
    <row r="927" spans="1:1" ht="15.75" customHeight="1" x14ac:dyDescent="0.3">
      <c r="A927" s="1" t="str">
        <f ca="1">IFERROR(__xludf.DUMMYFUNCTION("ARRAYFORMULA(GOOGLETRANSLATE(A:A, ""auto"", ""fa""))
"),"بیا جلو و به ما ملحق شو.")</f>
        <v>بیا جلو و به ما ملحق شو.</v>
      </c>
    </row>
    <row r="928" spans="1:1" ht="15.75" customHeight="1" x14ac:dyDescent="0.3">
      <c r="A928" s="1" t="str">
        <f ca="1">IFERROR(__xludf.DUMMYFUNCTION("ARRAYFORMULA(GOOGLETRANSLATE(A:A, ""auto"", ""fa""))
"),"یا بمیر.")</f>
        <v>یا بمیر.</v>
      </c>
    </row>
    <row r="929" spans="1:1" ht="15.75" customHeight="1" x14ac:dyDescent="0.3">
      <c r="A929" s="1" t="str">
        <f ca="1">IFERROR(__xludf.DUMMYFUNCTION("ARRAYFORMULA(GOOGLETRANSLATE(A:A, ""auto"", ""fa""))
"),"&lt;font color=""#FF0000""&gt;لوسیوس:&lt;/font&gt; دراکو.")</f>
        <v>&lt;font color="#FF0000"&gt;لوسیوس:&lt;/font&gt; دراکو.</v>
      </c>
    </row>
    <row r="930" spans="1:1" ht="15.75" customHeight="1" x14ac:dyDescent="0.3">
      <c r="A930" s="1" t="str">
        <f ca="1">IFERROR(__xludf.DUMMYFUNCTION("ARRAYFORMULA(GOOGLETRANSLATE(A:A, ""auto"", ""fa""))
"),"دراکو")</f>
        <v>دراکو</v>
      </c>
    </row>
    <row r="931" spans="1:1" ht="15.75" customHeight="1" x14ac:dyDescent="0.3">
      <c r="A931" s="1" t="str">
        <f ca="1">IFERROR(__xludf.DUMMYFUNCTION("ARRAYFORMULA(GOOGLETRANSLATE(A:A, ""auto"", ""fa""))
"),"نارسیسا: دراکو...")</f>
        <v>نارسیسا: دراکو...</v>
      </c>
    </row>
    <row r="932" spans="1:1" ht="15.75" customHeight="1" x14ac:dyDescent="0.3">
      <c r="A932" s="1" t="str">
        <f ca="1">IFERROR(__xludf.DUMMYFUNCTION("ARRAYFORMULA(GOOGLETRANSLATE(A:A, ""auto"", ""fa""))
"),"...بیا.")</f>
        <v>...بیا.</v>
      </c>
    </row>
    <row r="933" spans="1:1" ht="15.75" customHeight="1" x14ac:dyDescent="0.3">
      <c r="A933" s="1" t="str">
        <f ca="1">IFERROR(__xludf.DUMMYFUNCTION("ARRAYFORMULA(GOOGLETRANSLATE(A:A, ""auto"", ""fa""))
"),"ولدمورت: آه. آفرین، دراکو.")</f>
        <v>ولدمورت: آه. آفرین، دراکو.</v>
      </c>
    </row>
    <row r="934" spans="1:1" ht="15.75" customHeight="1" x14ac:dyDescent="0.3">
      <c r="A934" s="1" t="str">
        <f ca="1">IFERROR(__xludf.DUMMYFUNCTION("ARRAYFORMULA(GOOGLETRANSLATE(A:A, ""auto"", ""fa""))
"),"آفرین.")</f>
        <v>آفرین.</v>
      </c>
    </row>
    <row r="935" spans="1:1" ht="15.75" customHeight="1" x14ac:dyDescent="0.3">
      <c r="A935" s="1" t="str">
        <f ca="1">IFERROR(__xludf.DUMMYFUNCTION("ARRAYFORMULA(GOOGLETRANSLATE(A:A, ""auto"", ""fa""))
"),"خب، باید بگم که انتظار بهتری داشتم.")</f>
        <v>خب، باید بگم که انتظار بهتری داشتم.</v>
      </c>
    </row>
    <row r="936" spans="1:1" ht="15.75" customHeight="1" x14ac:dyDescent="0.3">
      <c r="A936" s="1" t="str">
        <f ca="1">IFERROR(__xludf.DUMMYFUNCTION("ARRAYFORMULA(GOOGLETRANSLATE(A:A, ""auto"", ""fa""))
"),"&lt;font color=""#FFFF00""&gt;(خنده پیروان ولدمورت)&lt;/font&gt;")</f>
        <v>&lt;font color="#FFFF00"&gt;(خنده پیروان ولدمورت)&lt;/font&gt;</v>
      </c>
    </row>
    <row r="937" spans="1:1" ht="15.75" customHeight="1" x14ac:dyDescent="0.3">
      <c r="A937" s="1" t="str">
        <f ca="1">IFERROR(__xludf.DUMMYFUNCTION("ARRAYFORMULA(GOOGLETRANSLATE(A:A, ""auto"", ""fa""))
"),"و تو کی می‌تونی باشی، مرد جوان؟")</f>
        <v>و تو کی می‌تونی باشی، مرد جوان؟</v>
      </c>
    </row>
    <row r="938" spans="1:1" ht="15.75" customHeight="1" x14ac:dyDescent="0.3">
      <c r="A938" s="1" t="str">
        <f ca="1">IFERROR(__xludf.DUMMYFUNCTION("ARRAYFORMULA(GOOGLETRANSLATE(A:A, ""auto"", ""fa""))
"),"نویل لانگ‌باتم.")</f>
        <v>نویل لانگ‌باتم.</v>
      </c>
    </row>
    <row r="939" spans="1:1" ht="15.75" customHeight="1" x14ac:dyDescent="0.3">
      <c r="A939" s="1" t="str">
        <f ca="1">IFERROR(__xludf.DUMMYFUNCTION("ARRAYFORMULA(GOOGLETRANSLATE(A:A, ""auto"", ""fa""))
"),"&lt;font color=""#FFFF00""&gt;(خنده پیروان ولدمورت)&lt;/font&gt;")</f>
        <v>&lt;font color="#FFFF00"&gt;(خنده پیروان ولدمورت)&lt;/font&gt;</v>
      </c>
    </row>
    <row r="940" spans="1:1" ht="15.75" customHeight="1" x14ac:dyDescent="0.3">
      <c r="A940" s="1" t="str">
        <f ca="1">IFERROR(__xludf.DUMMYFUNCTION("ARRAYFORMULA(GOOGLETRANSLATE(A:A, ""auto"", ""fa""))
"),"خب، نویل، مطمئنم که می‌توانیم جایی برای تو در جمع خودمان پیدا کنیم.")</f>
        <v>خب، نویل، مطمئنم که می‌توانیم جایی برای تو در جمع خودمان پیدا کنیم.</v>
      </c>
    </row>
    <row r="941" spans="1:1" ht="15.75" customHeight="1" x14ac:dyDescent="0.3">
      <c r="A941" s="1" t="str">
        <f ca="1">IFERROR(__xludf.DUMMYFUNCTION("ARRAYFORMULA(GOOGLETRANSLATE(A:A, ""auto"", ""fa""))
"),"دوست دارم یه چیزی بگم.")</f>
        <v>دوست دارم یه چیزی بگم.</v>
      </c>
    </row>
    <row r="942" spans="1:1" ht="15.75" customHeight="1" x14ac:dyDescent="0.3">
      <c r="A942" s="1" t="str">
        <f ca="1">IFERROR(__xludf.DUMMYFUNCTION("ARRAYFORMULA(GOOGLETRANSLATE(A:A, ""auto"", ""fa""))
"),"خب، نویل، مطمئنم که همه ما از شنیدن حرف‌هایت خوشحال می‌شویم.")</f>
        <v>خب، نویل، مطمئنم که همه ما از شنیدن حرف‌هایت خوشحال می‌شویم.</v>
      </c>
    </row>
    <row r="943" spans="1:1" ht="15.75" customHeight="1" x14ac:dyDescent="0.3">
      <c r="A943" s="1" t="str">
        <f ca="1">IFERROR(__xludf.DUMMYFUNCTION("ARRAYFORMULA(GOOGLETRANSLATE(A:A, ""auto"", ""fa""))
"),"مهم نیست هری رفته. برو کنار، نویل.")</f>
        <v>مهم نیست هری رفته. برو کنار، نویل.</v>
      </c>
    </row>
    <row r="944" spans="1:1" ht="15.75" customHeight="1" x14ac:dyDescent="0.3">
      <c r="A944" s="1" t="str">
        <f ca="1">IFERROR(__xludf.DUMMYFUNCTION("ARRAYFORMULA(GOOGLETRANSLATE(A:A, ""auto"", ""fa""))
"),"مردم هر روز می‌میرند.")</f>
        <v>مردم هر روز می‌میرند.</v>
      </c>
    </row>
    <row r="945" spans="1:1" ht="15.75" customHeight="1" x14ac:dyDescent="0.3">
      <c r="A945" s="1" t="str">
        <f ca="1">IFERROR(__xludf.DUMMYFUNCTION("ARRAYFORMULA(GOOGLETRANSLATE(A:A, ""auto"", ""fa""))
"),"دوستان، خانواده.")</f>
        <v>دوستان، خانواده.</v>
      </c>
    </row>
    <row r="946" spans="1:1" ht="15.75" customHeight="1" x14ac:dyDescent="0.3">
      <c r="A946" s="1" t="str">
        <f ca="1">IFERROR(__xludf.DUMMYFUNCTION("ARRAYFORMULA(GOOGLETRANSLATE(A:A, ""auto"", ""fa""))
"),"آره.")</f>
        <v>آره.</v>
      </c>
    </row>
    <row r="947" spans="1:1" ht="15.75" customHeight="1" x14ac:dyDescent="0.3">
      <c r="A947" s="1" t="str">
        <f ca="1">IFERROR(__xludf.DUMMYFUNCTION("ARRAYFORMULA(GOOGLETRANSLATE(A:A, ""auto"", ""fa""))
"),"امشب هری رو از دست دادیم.")</f>
        <v>امشب هری رو از دست دادیم.</v>
      </c>
    </row>
    <row r="948" spans="1:1" ht="15.75" customHeight="1" x14ac:dyDescent="0.3">
      <c r="A948" s="1" t="str">
        <f ca="1">IFERROR(__xludf.DUMMYFUNCTION("ARRAYFORMULA(GOOGLETRANSLATE(A:A, ""auto"", ""fa""))
"),"اما او هنوز با ماست، اینجا.")</f>
        <v>اما او هنوز با ماست، اینجا.</v>
      </c>
    </row>
    <row r="949" spans="1:1" ht="15.75" customHeight="1" x14ac:dyDescent="0.3">
      <c r="A949" s="1" t="str">
        <f ca="1">IFERROR(__xludf.DUMMYFUNCTION("ARRAYFORMULA(GOOGLETRANSLATE(A:A, ""auto"", ""fa""))
"),"فرید هم همینطور...")</f>
        <v>فرید هم همینطور...</v>
      </c>
    </row>
    <row r="950" spans="1:1" ht="15.75" customHeight="1" x14ac:dyDescent="0.3">
      <c r="A950" s="1" t="str">
        <f ca="1">IFERROR(__xludf.DUMMYFUNCTION("ARRAYFORMULA(GOOGLETRANSLATE(A:A, ""auto"", ""fa""))
"),"... و ریموس.")</f>
        <v>... و ریموس.</v>
      </c>
    </row>
    <row r="951" spans="1:1" ht="15.75" customHeight="1" x14ac:dyDescent="0.3">
      <c r="A951" s="1" t="str">
        <f ca="1">IFERROR(__xludf.DUMMYFUNCTION("ARRAYFORMULA(GOOGLETRANSLATE(A:A, ""auto"", ""fa""))
"),"تانکس")</f>
        <v>تانکس</v>
      </c>
    </row>
    <row r="952" spans="1:1" ht="15.75" customHeight="1" x14ac:dyDescent="0.3">
      <c r="A952" s="1" t="str">
        <f ca="1">IFERROR(__xludf.DUMMYFUNCTION("ARRAYFORMULA(GOOGLETRANSLATE(A:A, ""auto"", ""fa""))
"),"همه آنها.")</f>
        <v>همه آنها.</v>
      </c>
    </row>
    <row r="953" spans="1:1" ht="15.75" customHeight="1" x14ac:dyDescent="0.3">
      <c r="A953" s="1" t="str">
        <f ca="1">IFERROR(__xludf.DUMMYFUNCTION("ARRAYFORMULA(GOOGLETRANSLATE(A:A, ""auto"", ""fa""))
"),"آنها بیهوده نمردند.")</f>
        <v>آنها بیهوده نمردند.</v>
      </c>
    </row>
    <row r="954" spans="1:1" ht="15.75" customHeight="1" x14ac:dyDescent="0.3">
      <c r="A954" s="1" t="str">
        <f ca="1">IFERROR(__xludf.DUMMYFUNCTION("ARRAYFORMULA(GOOGLETRANSLATE(A:A, ""auto"", ""fa""))
"),"اما تو این کار را خواهی کرد.")</f>
        <v>اما تو این کار را خواهی کرد.</v>
      </c>
    </row>
    <row r="955" spans="1:1" ht="15.75" customHeight="1" x14ac:dyDescent="0.3">
      <c r="A955" s="1" t="str">
        <f ca="1">IFERROR(__xludf.DUMMYFUNCTION("ARRAYFORMULA(GOOGLETRANSLATE(A:A, ""auto"", ""fa""))
"),"چون داری اشتباه می‌کنی.
ها-ها-ها.")</f>
        <v>چون داری اشتباه می‌کنی.
ها-ها-ها.</v>
      </c>
    </row>
    <row r="956" spans="1:1" ht="15.75" customHeight="1" x14ac:dyDescent="0.3">
      <c r="A956" s="1" t="str">
        <f ca="1">IFERROR(__xludf.DUMMYFUNCTION("ARRAYFORMULA(GOOGLETRANSLATE(A:A, ""auto"", ""fa""))
"),"قلب هری واقعاً برای ما می‌تپید.")</f>
        <v>قلب هری واقعاً برای ما می‌تپید.</v>
      </c>
    </row>
    <row r="957" spans="1:1" ht="15.75" customHeight="1" x14ac:dyDescent="0.3">
      <c r="A957" s="1" t="str">
        <f ca="1">IFERROR(__xludf.DUMMYFUNCTION("ARRAYFORMULA(GOOGLETRANSLATE(A:A, ""auto"", ""fa""))
"),"برای همه ما. این تمام نشده!")</f>
        <v>برای همه ما. این تمام نشده!</v>
      </c>
    </row>
    <row r="958" spans="1:1" ht="15.75" customHeight="1" x14ac:dyDescent="0.3">
      <c r="A958" s="1" t="str">
        <f ca="1">IFERROR(__xludf.DUMMYFUNCTION("ARRAYFORMULA(GOOGLETRANSLATE(A:A, ""auto"", ""fa""))
"),"&lt;font color=""#FFFF00""&gt;(هری غرغر می‌کند)&lt;/font&gt;")</f>
        <v>&lt;font color="#FFFF00"&gt;(هری غرغر می‌کند)&lt;/font&gt;</v>
      </c>
    </row>
    <row r="959" spans="1:1" ht="15.75" customHeight="1" x14ac:dyDescent="0.3">
      <c r="A959" s="1" t="str">
        <f ca="1">IFERROR(__xludf.DUMMYFUNCTION("ARRAYFORMULA(GOOGLETRANSLATE(A:A, ""auto"", ""fa""))
"),"می شکنم!")</f>
        <v>می شکنم!</v>
      </c>
    </row>
    <row r="960" spans="1:1" ht="15.75" customHeight="1" x14ac:dyDescent="0.3">
      <c r="A960" s="1" t="str">
        <f ca="1">IFERROR(__xludf.DUMMYFUNCTION("ARRAYFORMULA(GOOGLETRANSLATE(A:A, ""auto"", ""fa""))
"),"&lt;font color=""#FFFF00""&gt;(فریاد)&lt;/font&gt;")</f>
        <v>&lt;font color="#FFFF00"&gt;(فریاد)&lt;/font&gt;</v>
      </c>
    </row>
    <row r="961" spans="1:1" ht="15.75" customHeight="1" x14ac:dyDescent="0.3">
      <c r="A961" s="1" t="str">
        <f ca="1">IFERROR(__xludf.DUMMYFUNCTION("ARRAYFORMULA(GOOGLETRANSLATE(A:A, ""auto"", ""fa""))
"),"&lt;font color=""#FF0000""&gt;بلاتریکس:&lt;/font&gt; نه! نه، برگرد!")</f>
        <v>&lt;font color="#FF0000"&gt;بلاتریکس:&lt;/font&gt; نه! نه، برگرد!</v>
      </c>
    </row>
    <row r="962" spans="1:1" ht="15.75" customHeight="1" x14ac:dyDescent="0.3">
      <c r="A962" s="1" t="str">
        <f ca="1">IFERROR(__xludf.DUMMYFUNCTION("ARRAYFORMULA(GOOGLETRANSLATE(A:A, ""auto"", ""fa""))
"),"لوسیوس! برگرد! برگرد و بجنگ!")</f>
        <v>لوسیوس! برگرد! برگرد و بجنگ!</v>
      </c>
    </row>
    <row r="963" spans="1:1" ht="15.75" customHeight="1" x14ac:dyDescent="0.3">
      <c r="A963" s="1" t="str">
        <f ca="1">IFERROR(__xludf.DUMMYFUNCTION("ARRAYFORMULA(GOOGLETRANSLATE(A:A, ""auto"", ""fa""))
"),"برگرد!")</f>
        <v>برگرد!</v>
      </c>
    </row>
    <row r="964" spans="1:1" ht="15.75" customHeight="1" x14ac:dyDescent="0.3">
      <c r="A964" s="1" t="str">
        <f ca="1">IFERROR(__xludf.DUMMYFUNCTION("ARRAYFORMULA(GOOGLETRANSLATE(A:A, ""auto"", ""fa""))
"),"من او را به داخل قلعه می‌کشم. ما باید مار را بکشیم.")</f>
        <v>من او را به داخل قلعه می‌کشم. ما باید مار را بکشیم.</v>
      </c>
    </row>
    <row r="965" spans="1:1" ht="15.75" customHeight="1" x14ac:dyDescent="0.3">
      <c r="A965" s="1" t="str">
        <f ca="1">IFERROR(__xludf.DUMMYFUNCTION("ARRAYFORMULA(GOOGLETRANSLATE(A:A, ""auto"", ""fa""))
"),"&lt;font color=""#FF0000""&gt;هرمیون:&lt;/font&gt; به این نیاز خواهی داشت.
&lt;font color=""#FF0000""&gt;آرتور:&lt;/font&gt; نویل!")</f>
        <v>&lt;font color="#FF0000"&gt;هرمیون:&lt;/font&gt; به این نیاز خواهی داشت.
&lt;font color="#FF0000"&gt;آرتور:&lt;/font&gt; نویل!</v>
      </c>
    </row>
    <row r="966" spans="1:1" ht="15.75" customHeight="1" x14ac:dyDescent="0.3">
      <c r="A966" s="1" t="str">
        <f ca="1">IFERROR(__xludf.DUMMYFUNCTION("ARRAYFORMULA(GOOGLETRANSLATE(A:A, ""auto"", ""fa""))
"),"&lt;font color=""#FFFF00""&gt;(صدای هیس در نزدیکی)&lt;/font&gt;")</f>
        <v>&lt;font color="#FFFF00"&gt;(صدای هیس در نزدیکی)&lt;/font&gt;</v>
      </c>
    </row>
    <row r="967" spans="1:1" ht="15.75" customHeight="1" x14ac:dyDescent="0.3">
      <c r="A967" s="1" t="str">
        <f ca="1">IFERROR(__xludf.DUMMYFUNCTION("ARRAYFORMULA(GOOGLETRANSLATE(A:A, ""auto"", ""fa""))
"),"&lt;font color=""#FFFF00""&gt;(ووش)&lt;/font&gt;")</f>
        <v>&lt;font color="#FFFF00"&gt;(ووش)&lt;/font&gt;</v>
      </c>
    </row>
    <row r="968" spans="1:1" ht="15.75" customHeight="1" x14ac:dyDescent="0.3">
      <c r="A968" s="1" t="str">
        <f ca="1">IFERROR(__xludf.DUMMYFUNCTION("ARRAYFORMULA(GOOGLETRANSLATE(A:A, ""auto"", ""fa""))
"),"&lt;font color=""#FFFF00""&gt;(فریاد)&lt;/font&gt;")</f>
        <v>&lt;font color="#FFFF00"&gt;(فریاد)&lt;/font&gt;</v>
      </c>
    </row>
    <row r="969" spans="1:1" ht="15.75" customHeight="1" x14ac:dyDescent="0.3">
      <c r="A969" s="1" t="str">
        <f ca="1">IFERROR(__xludf.DUMMYFUNCTION("ARRAYFORMULA(GOOGLETRANSLATE(A:A, ""auto"", ""fa""))
"),"&lt;font color=""#FFFF00""&gt;(هیس)&lt;/font&gt;")</f>
        <v>&lt;font color="#FFFF00"&gt;(هیس)&lt;/font&gt;</v>
      </c>
    </row>
    <row r="970" spans="1:1" ht="15.75" customHeight="1" x14ac:dyDescent="0.3">
      <c r="A970" s="1" t="str">
        <f ca="1">IFERROR(__xludf.DUMMYFUNCTION("ARRAYFORMULA(GOOGLETRANSLATE(A:A, ""auto"", ""fa""))
"),"دختر من نه، عوضی.")</f>
        <v>دختر من نه، عوضی.</v>
      </c>
    </row>
    <row r="971" spans="1:1" ht="15.75" customHeight="1" x14ac:dyDescent="0.3">
      <c r="A971" s="1" t="str">
        <f ca="1">IFERROR(__xludf.DUMMYFUNCTION("ARRAYFORMULA(GOOGLETRANSLATE(A:A, ""auto"", ""fa""))
"),"&lt;font color=""#FFFF00""&gt;(می‌خندد)&lt;/font&gt;")</f>
        <v>&lt;font color="#FFFF00"&gt;(می‌خندد)&lt;/font&gt;</v>
      </c>
    </row>
    <row r="972" spans="1:1" ht="15.75" customHeight="1" x14ac:dyDescent="0.3">
      <c r="A972" s="1" t="str">
        <f ca="1">IFERROR(__xludf.DUMMYFUNCTION("ARRAYFORMULA(GOOGLETRANSLATE(A:A, ""auto"", ""fa""))
"),"&lt;font color=""#FFFF00""&gt;(ولدمورت فریاد می‌زند)&lt;/font&gt;")</f>
        <v>&lt;font color="#FFFF00"&gt;(ولدمورت فریاد می‌زند)&lt;/font&gt;</v>
      </c>
    </row>
    <row r="973" spans="1:1" ht="15.75" customHeight="1" x14ac:dyDescent="0.3">
      <c r="A973" s="1" t="str">
        <f ca="1">IFERROR(__xludf.DUMMYFUNCTION("ARRAYFORMULA(GOOGLETRANSLATE(A:A, ""auto"", ""fa""))
"),"&lt;font color=""#FF0000""&gt;هری:&lt;/font&gt; حق با تو بود...")</f>
        <v>&lt;font color="#FF0000"&gt;هری:&lt;/font&gt; حق با تو بود...</v>
      </c>
    </row>
    <row r="974" spans="1:1" ht="15.75" customHeight="1" x14ac:dyDescent="0.3">
      <c r="A974" s="1" t="str">
        <f ca="1">IFERROR(__xludf.DUMMYFUNCTION("ARRAYFORMULA(GOOGLETRANSLATE(A:A, ""auto"", ""fa""))
"),"...وقتی به اسنیپ گفتی که اون چوبدستی داره بهت ضرر میزنه.")</f>
        <v>...وقتی به اسنیپ گفتی که اون چوبدستی داره بهت ضرر میزنه.</v>
      </c>
    </row>
    <row r="975" spans="1:1" ht="15.75" customHeight="1" x14ac:dyDescent="0.3">
      <c r="A975" s="1" t="str">
        <f ca="1">IFERROR(__xludf.DUMMYFUNCTION("ARRAYFORMULA(GOOGLETRANSLATE(A:A, ""auto"", ""fa""))
"),"همیشه باعث شکست شما خواهد شد.")</f>
        <v>همیشه باعث شکست شما خواهد شد.</v>
      </c>
    </row>
    <row r="976" spans="1:1" ht="15.75" customHeight="1" x14ac:dyDescent="0.3">
      <c r="A976" s="1" t="str">
        <f ca="1">IFERROR(__xludf.DUMMYFUNCTION("ARRAYFORMULA(GOOGLETRANSLATE(A:A, ""auto"", ""fa""))
"),"&lt;font color=""#FF0000""&gt;ولدمورت:&lt;/font&gt; من اسنیپ را کشتم.")</f>
        <v>&lt;font color="#FF0000"&gt;ولدمورت:&lt;/font&gt; من اسنیپ را کشتم.</v>
      </c>
    </row>
    <row r="977" spans="1:1" ht="15.75" customHeight="1" x14ac:dyDescent="0.3">
      <c r="A977" s="1" t="str">
        <f ca="1">IFERROR(__xludf.DUMMYFUNCTION("ARRAYFORMULA(GOOGLETRANSLATE(A:A, ""auto"", ""fa""))
"),"اما اگر چوبدستی هرگز متعلق به اسنیپ نبوده باشد چه؟")</f>
        <v>اما اگر چوبدستی هرگز متعلق به اسنیپ نبوده باشد چه؟</v>
      </c>
    </row>
    <row r="978" spans="1:1" ht="15.75" customHeight="1" x14ac:dyDescent="0.3">
      <c r="A978" s="1" t="str">
        <f ca="1">IFERROR(__xludf.DUMMYFUNCTION("ARRAYFORMULA(GOOGLETRANSLATE(A:A, ""auto"", ""fa""))
"),"چه می‌شد اگر وفاداری‌اش همیشه به کس دیگری می‌بود؟")</f>
        <v>چه می‌شد اگر وفاداری‌اش همیشه به کس دیگری می‌بود؟</v>
      </c>
    </row>
    <row r="979" spans="1:1" ht="15.75" customHeight="1" x14ac:dyDescent="0.3">
      <c r="A979" s="1" t="str">
        <f ca="1">IFERROR(__xludf.DUMMYFUNCTION("ARRAYFORMULA(GOOGLETRANSLATE(A:A, ""auto"", ""fa""))
"),"یالا، تام. بیا این کار رو همونطور که شروع کردیم تموم کنیم.")</f>
        <v>یالا، تام. بیا این کار رو همونطور که شروع کردیم تموم کنیم.</v>
      </c>
    </row>
    <row r="980" spans="1:1" ht="15.75" customHeight="1" x14ac:dyDescent="0.3">
      <c r="A980" s="1" t="str">
        <f ca="1">IFERROR(__xludf.DUMMYFUNCTION("ARRAYFORMULA(GOOGLETRANSLATE(A:A, ""auto"", ""fa""))
"),"با هم.")</f>
        <v>با هم.</v>
      </c>
    </row>
    <row r="981" spans="1:1" ht="15.75" customHeight="1" x14ac:dyDescent="0.3">
      <c r="A981" s="1" t="str">
        <f ca="1">IFERROR(__xludf.DUMMYFUNCTION("ARRAYFORMULA(GOOGLETRANSLATE(A:A, ""auto"", ""fa""))
"),"&lt;font color=""#FFFF00""&gt;(هر دو فریاد می‌زنند)&lt;/font&gt;")</f>
        <v>&lt;font color="#FFFF00"&gt;(هر دو فریاد می‌زنند)&lt;/font&gt;</v>
      </c>
    </row>
    <row r="982" spans="1:1" ht="15.75" customHeight="1" x14ac:dyDescent="0.3">
      <c r="A982" s="1" t="str">
        <f ca="1">IFERROR(__xludf.DUMMYFUNCTION("ARRAYFORMULA(GOOGLETRANSLATE(A:A, ""auto"", ""fa""))
"),"&lt;font color=""#FFFF00""&gt;(فریاد)&lt;/font&gt;")</f>
        <v>&lt;font color="#FFFF00"&gt;(فریاد)&lt;/font&gt;</v>
      </c>
    </row>
    <row r="983" spans="1:1" ht="15.75" customHeight="1" x14ac:dyDescent="0.3">
      <c r="A983" s="1" t="str">
        <f ca="1">IFERROR(__xludf.DUMMYFUNCTION("ARRAYFORMULA(GOOGLETRANSLATE(A:A, ""auto"", ""fa""))
"),"&lt;font color=""#FFFF00""&gt;(دانش‌آموزان پچ‌پچ می‌کنند)&lt;/font&gt;")</f>
        <v>&lt;font color="#FFFF00"&gt;(دانش‌آموزان پچ‌پچ می‌کنند)&lt;/font&gt;</v>
      </c>
    </row>
    <row r="984" spans="1:1" ht="15.75" customHeight="1" x14ac:dyDescent="0.3">
      <c r="A984" s="1" t="str">
        <f ca="1">IFERROR(__xludf.DUMMYFUNCTION("ARRAYFORMULA(GOOGLETRANSLATE(A:A, ""auto"", ""fa""))
"),"ها، ها.
همیشه فکر می‌کردم آدم بزرگی خواهد شد.")</f>
        <v>ها، ها.
همیشه فکر می‌کردم آدم بزرگی خواهد شد.</v>
      </c>
    </row>
    <row r="985" spans="1:1" ht="15.75" customHeight="1" x14ac:dyDescent="0.3">
      <c r="A985" s="1" t="str">
        <f ca="1">IFERROR(__xludf.DUMMYFUNCTION("ARRAYFORMULA(GOOGLETRANSLATE(A:A, ""auto"", ""fa""))
"),"نتونستم چوبدستیمو پیدا کنم. من تو تمام عمرم چوبدستیمو گم نکردم.")</f>
        <v>نتونستم چوبدستیمو پیدا کنم. من تو تمام عمرم چوبدستیمو گم نکردم.</v>
      </c>
    </row>
    <row r="986" spans="1:1" ht="15.75" customHeight="1" x14ac:dyDescent="0.3">
      <c r="A986" s="1" t="str">
        <f ca="1">IFERROR(__xludf.DUMMYFUNCTION("ARRAYFORMULA(GOOGLETRANSLATE(A:A, ""auto"", ""fa""))
"),"توی چین‌های لباسم گم شده بود.")</f>
        <v>توی چین‌های لباسم گم شده بود.</v>
      </c>
    </row>
    <row r="987" spans="1:1" ht="15.75" customHeight="1" x14ac:dyDescent="0.3">
      <c r="A987" s="1" t="str">
        <f ca="1">IFERROR(__xludf.DUMMYFUNCTION("ARRAYFORMULA(GOOGLETRANSLATE(A:A, ""auto"", ""fa""))
"),"من موفق شدم آن را پیدا کنم و چند تا از آنها را فرستادم...")</f>
        <v>من موفق شدم آن را پیدا کنم و چند تا از آنها را فرستادم...</v>
      </c>
    </row>
    <row r="988" spans="1:1" ht="15.75" customHeight="1" x14ac:dyDescent="0.3">
      <c r="A988" s="1" t="str">
        <f ca="1">IFERROR(__xludf.DUMMYFUNCTION("ARRAYFORMULA(GOOGLETRANSLATE(A:A, ""auto"", ""fa""))
"),"هاگرید: هری.")</f>
        <v>هاگرید: هری.</v>
      </c>
    </row>
    <row r="989" spans="1:1" ht="15.75" customHeight="1" x14ac:dyDescent="0.3">
      <c r="A989" s="1" t="str">
        <f ca="1">IFERROR(__xludf.DUMMYFUNCTION("ARRAYFORMULA(GOOGLETRANSLATE(A:A, ""auto"", ""fa""))
"),"&lt;font color=""#FFFF00""&gt;(هاگرید می‌خندد)&lt;/font&gt;")</f>
        <v>&lt;font color="#FFFF00"&gt;(هاگرید می‌خندد)&lt;/font&gt;</v>
      </c>
    </row>
    <row r="990" spans="1:1" ht="15.75" customHeight="1" x14ac:dyDescent="0.3">
      <c r="A990" s="1" t="str">
        <f ca="1">IFERROR(__xludf.DUMMYFUNCTION("ARRAYFORMULA(GOOGLETRANSLATE(A:A, ""auto"", ""fa""))
"),"&lt;font color=""#FF0000""&gt;هرمیون:&lt;/font&gt; چرا چوبدستی کهنسال برای او کار نکرد؟")</f>
        <v>&lt;font color="#FF0000"&gt;هرمیون:&lt;/font&gt; چرا چوبدستی کهنسال برای او کار نکرد؟</v>
      </c>
    </row>
    <row r="991" spans="1:1" ht="15.75" customHeight="1" x14ac:dyDescent="0.3">
      <c r="A991" s="1" t="str">
        <f ca="1">IFERROR(__xludf.DUMMYFUNCTION("ARRAYFORMULA(GOOGLETRANSLATE(A:A, ""auto"", ""fa""))
"),"به کس دیگه ای جواب داد.")</f>
        <v>به کس دیگه ای جواب داد.</v>
      </c>
    </row>
    <row r="992" spans="1:1" ht="15.75" customHeight="1" x14ac:dyDescent="0.3">
      <c r="A992" s="1" t="str">
        <f ca="1">IFERROR(__xludf.DUMMYFUNCTION("ARRAYFORMULA(GOOGLETRANSLATE(A:A, ""auto"", ""fa""))
"),"وقتی اسنیپ را کشت، فکر می‌کرد که چوبدستی مال او خواهد شد.")</f>
        <v>وقتی اسنیپ را کشت، فکر می‌کرد که چوبدستی مال او خواهد شد.</v>
      </c>
    </row>
    <row r="993" spans="1:1" ht="15.75" customHeight="1" x14ac:dyDescent="0.3">
      <c r="A993" s="1" t="str">
        <f ca="1">IFERROR(__xludf.DUMMYFUNCTION("ARRAYFORMULA(GOOGLETRANSLATE(A:A, ""auto"", ""fa""))
"),"اما مسئله این است که آن چوبدستی هیچ‌وقت مال اسنیپ نبود.")</f>
        <v>اما مسئله این است که آن چوبدستی هیچ‌وقت مال اسنیپ نبود.</v>
      </c>
    </row>
    <row r="994" spans="1:1" ht="15.75" customHeight="1" x14ac:dyDescent="0.3">
      <c r="A994" s="1" t="str">
        <f ca="1">IFERROR(__xludf.DUMMYFUNCTION("ARRAYFORMULA(GOOGLETRANSLATE(A:A, ""auto"", ""fa""))
"),"آن شب در برج نجوم، دراکو بود که دامبلدور را خلع سلاح کرد.")</f>
        <v>آن شب در برج نجوم، دراکو بود که دامبلدور را خلع سلاح کرد.</v>
      </c>
    </row>
    <row r="995" spans="1:1" ht="15.75" customHeight="1" x14ac:dyDescent="0.3">
      <c r="A995" s="1" t="str">
        <f ca="1">IFERROR(__xludf.DUMMYFUNCTION("ARRAYFORMULA(GOOGLETRANSLATE(A:A, ""auto"", ""fa""))
"),"از آن لحظه به بعد، چوبدستی به او پاسخ داد.")</f>
        <v>از آن لحظه به بعد، چوبدستی به او پاسخ داد.</v>
      </c>
    </row>
    <row r="996" spans="1:1" ht="15.75" customHeight="1" x14ac:dyDescent="0.3">
      <c r="A996" s="1" t="str">
        <f ca="1">IFERROR(__xludf.DUMMYFUNCTION("ARRAYFORMULA(GOOGLETRANSLATE(A:A, ""auto"", ""fa""))
"),"تا اینکه...")</f>
        <v>تا اینکه...</v>
      </c>
    </row>
    <row r="997" spans="1:1" ht="15.75" customHeight="1" x14ac:dyDescent="0.3">
      <c r="A997" s="1" t="str">
        <f ca="1">IFERROR(__xludf.DUMMYFUNCTION("ARRAYFORMULA(GOOGLETRANSLATE(A:A, ""auto"", ""fa""))
"),"... آن شب که دراکو را در عمارت مالفوی خلع سلاح کردم.")</f>
        <v>... آن شب که دراکو را در عمارت مالفوی خلع سلاح کردم.</v>
      </c>
    </row>
    <row r="998" spans="1:1" ht="15.75" customHeight="1" x14ac:dyDescent="0.3">
      <c r="A998" s="1" t="str">
        <f ca="1">IFERROR(__xludf.DUMMYFUNCTION("ARRAYFORMULA(GOOGLETRANSLATE(A:A, ""auto"", ""fa""))
"),"پس یعنی...")</f>
        <v>پس یعنی...</v>
      </c>
    </row>
    <row r="999" spans="1:1" ht="15.75" customHeight="1" x14ac:dyDescent="0.3">
      <c r="A999" s="1" t="str">
        <f ca="1">IFERROR(__xludf.DUMMYFUNCTION("ARRAYFORMULA(GOOGLETRANSLATE(A:A, ""auto"", ""fa""))
"),"مالِ منه.")</f>
        <v>مالِ منه.</v>
      </c>
    </row>
    <row r="1000" spans="1:1" ht="15.75" customHeight="1" x14ac:dyDescent="0.3">
      <c r="A1000" s="1" t="str">
        <f ca="1">IFERROR(__xludf.DUMMYFUNCTION("ARRAYFORMULA(GOOGLETRANSLATE(A:A, ""auto"", ""fa""))
"),"&lt;font color=""#FF0000""&gt;رون:&lt;/font&gt; باهاش ​​چیکار کنیم؟")</f>
        <v>&lt;font color="#FF0000"&gt;رون:&lt;/font&gt; باهاش ​​چیکار کنیم؟</v>
      </c>
    </row>
    <row r="1001" spans="1:1" ht="15.75" customHeight="1" x14ac:dyDescent="0.3">
      <c r="A1001" s="1" t="str">
        <f ca="1">IFERROR(__xludf.DUMMYFUNCTION("ARRAYFORMULA(GOOGLETRANSLATE(A:A, ""auto"", ""fa""))
"),"ما؟")</f>
        <v>ما؟</v>
      </c>
    </row>
    <row r="1002" spans="1:1" ht="15.75" customHeight="1" x14ac:dyDescent="0.3">
      <c r="A1002" s="1" t="str">
        <f ca="1">IFERROR(__xludf.DUMMYFUNCTION("ARRAYFORMULA(GOOGLETRANSLATE(A:A, ""auto"", ""fa""))
"),"فقط دارم میگم، اون چوبدستی کهنسال هست، قدرتمندترین چوبدستی دنیا.")</f>
        <v>فقط دارم میگم، اون چوبدستی کهنسال هست، قدرتمندترین چوبدستی دنیا.</v>
      </c>
    </row>
    <row r="1003" spans="1:1" ht="15.75" customHeight="1" x14ac:dyDescent="0.3">
      <c r="A1003" s="1" t="str">
        <f ca="1">IFERROR(__xludf.DUMMYFUNCTION("ARRAYFORMULA(GOOGLETRANSLATE(A:A, ""auto"", ""fa""))
"),"با این حساب، ما شکست‌ناپذیر خواهیم بود.")</f>
        <v>با این حساب، ما شکست‌ناپذیر خواهیم بود.</v>
      </c>
    </row>
    <row r="1004" spans="1:1" ht="15.75" customHeight="1" x14ac:dyDescent="0.3">
      <c r="A1004" s="1" t="str">
        <f ca="1">IFERROR(__xludf.DUMMYFUNCTION("ARRAYFORMULA(GOOGLETRANSLATE(A:A, ""auto"", ""fa""))
"),"با هم.")</f>
        <v>با هم.</v>
      </c>
    </row>
    <row r="1005" spans="1:1" ht="15.75" customHeight="1" x14ac:dyDescent="0.3">
      <c r="A1005" s="1" t="str">
        <f ca="1">IFERROR(__xludf.DUMMYFUNCTION("ARRAYFORMULA(GOOGLETRANSLATE(A:A, ""auto"", ""fa""))
"),"&lt;font color=""#FFFF00""&gt;(خنده زنان)&lt;/font&gt;")</f>
        <v>&lt;font color="#FFFF00"&gt;(خنده زنان)&lt;/font&gt;</v>
      </c>
    </row>
    <row r="1006" spans="1:1" ht="15.75" customHeight="1" x14ac:dyDescent="0.3">
      <c r="A1006" s="1" t="str">
        <f ca="1">IFERROR(__xludf.DUMMYFUNCTION("ARRAYFORMULA(GOOGLETRANSLATE(A:A, ""auto"", ""fa""))
"),"&lt;font color=""#FF0000""&gt;پدر:&lt;/font&gt; مراقب همدیگه باشیم.")</f>
        <v>&lt;font color="#FF0000"&gt;پدر:&lt;/font&gt; مراقب همدیگه باشیم.</v>
      </c>
    </row>
    <row r="1007" spans="1:1" ht="15.75" customHeight="1" x14ac:dyDescent="0.3">
      <c r="A1007" s="1" t="str">
        <f ca="1">IFERROR(__xludf.DUMMYFUNCTION("ARRAYFORMULA(GOOGLETRANSLATE(A:A, ""auto"", ""fa""))
"),"کیف؟ بله.")</f>
        <v>کیف؟ بله.</v>
      </c>
    </row>
    <row r="1008" spans="1:1" ht="15.75" customHeight="1" x14ac:dyDescent="0.3">
      <c r="A1008" s="1" t="str">
        <f ca="1">IFERROR(__xludf.DUMMYFUNCTION("ARRAYFORMULA(GOOGLETRANSLATE(A:A, ""auto"", ""fa""))
"),"جامپر؟")</f>
        <v>جامپر؟</v>
      </c>
    </row>
    <row r="1009" spans="1:1" ht="15.75" customHeight="1" x14ac:dyDescent="0.3">
      <c r="A1009" s="1" t="str">
        <f ca="1">IFERROR(__xludf.DUMMYFUNCTION("ARRAYFORMULA(GOOGLETRANSLATE(A:A, ""auto"", ""fa""))
"),"دلم برات تنگ میشه.")</f>
        <v>دلم برات تنگ میشه.</v>
      </c>
    </row>
    <row r="1010" spans="1:1" ht="15.75" customHeight="1" x14ac:dyDescent="0.3">
      <c r="A1010" s="1" t="str">
        <f ca="1">IFERROR(__xludf.DUMMYFUNCTION("ARRAYFORMULA(GOOGLETRANSLATE(A:A, ""auto"", ""fa""))
"),"&lt;font color=""#FF0000""&gt;رون:&lt;/font&gt; دارن میان.")</f>
        <v>&lt;font color="#FF0000"&gt;رون:&lt;/font&gt; دارن میان.</v>
      </c>
    </row>
    <row r="1011" spans="1:1" ht="15.75" customHeight="1" x14ac:dyDescent="0.3">
      <c r="A1011" s="1" t="str">
        <f ca="1">IFERROR(__xludf.DUMMYFUNCTION("ARRAYFORMULA(GOOGLETRANSLATE(A:A, ""auto"", ""fa""))
"),"بابا، اگه منو بندازن اسلیترین چی؟")</f>
        <v>بابا، اگه منو بندازن اسلیترین چی؟</v>
      </c>
    </row>
    <row r="1012" spans="1:1" ht="15.75" customHeight="1" x14ac:dyDescent="0.3">
      <c r="A1012" s="1" t="str">
        <f ca="1">IFERROR(__xludf.DUMMYFUNCTION("ARRAYFORMULA(GOOGLETRANSLATE(A:A, ""auto"", ""fa""))
"),"آلبوس سوروس پاتر...")</f>
        <v>آلبوس سوروس پاتر...</v>
      </c>
    </row>
    <row r="1013" spans="1:1" ht="15.75" customHeight="1" x14ac:dyDescent="0.3">
      <c r="A1013" s="1" t="str">
        <f ca="1">IFERROR(__xludf.DUMMYFUNCTION("ARRAYFORMULA(GOOGLETRANSLATE(A:A, ""auto"", ""fa""))
"),"... اسم تو از روی اسم دو تا از مدیران هاگوارتز برداشته شده.")</f>
        <v>... اسم تو از روی اسم دو تا از مدیران هاگوارتز برداشته شده.</v>
      </c>
    </row>
    <row r="1014" spans="1:1" ht="15.75" customHeight="1" x14ac:dyDescent="0.3">
      <c r="A1014" s="1" t="str">
        <f ca="1">IFERROR(__xludf.DUMMYFUNCTION("ARRAYFORMULA(GOOGLETRANSLATE(A:A, ""auto"", ""fa""))
"),"یکی از آنها اسلیترین بود...")</f>
        <v>یکی از آنها اسلیترین بود...</v>
      </c>
    </row>
    <row r="1015" spans="1:1" ht="15.75" customHeight="1" x14ac:dyDescent="0.3">
      <c r="A1015" s="1" t="str">
        <f ca="1">IFERROR(__xludf.DUMMYFUNCTION("ARRAYFORMULA(GOOGLETRANSLATE(A:A, ""auto"", ""fa""))
"),"... و او شجاع‌ترین مردی بود که تا به حال شناخته‌ام.")</f>
        <v>... و او شجاع‌ترین مردی بود که تا به حال شناخته‌ام.</v>
      </c>
    </row>
    <row r="1016" spans="1:1" ht="15.75" customHeight="1" x14ac:dyDescent="0.3">
      <c r="A1016" s="1" t="str">
        <f ca="1">IFERROR(__xludf.DUMMYFUNCTION("ARRAYFORMULA(GOOGLETRANSLATE(A:A, ""auto"", ""fa""))
"),"اما فقط بگو که من هستم.")</f>
        <v>اما فقط بگو که من هستم.</v>
      </c>
    </row>
    <row r="1017" spans="1:1" ht="15.75" customHeight="1" x14ac:dyDescent="0.3">
      <c r="A1017" s="1" t="str">
        <f ca="1">IFERROR(__xludf.DUMMYFUNCTION("ARRAYFORMULA(GOOGLETRANSLATE(A:A, ""auto"", ""fa""))
"),"آنگاه گروه اسلیترین یک جادوگر جوان فوق‌العاده خواهد داشت.")</f>
        <v>آنگاه گروه اسلیترین یک جادوگر جوان فوق‌العاده خواهد داشت.</v>
      </c>
    </row>
    <row r="1018" spans="1:1" ht="15.75" customHeight="1" x14ac:dyDescent="0.3">
      <c r="A1018" s="1" t="str">
        <f ca="1">IFERROR(__xludf.DUMMYFUNCTION("ARRAYFORMULA(GOOGLETRANSLATE(A:A, ""auto"", ""fa""))
"),"اما، گوش کن، اگر واقعاً اینقدر برایت مهم است، می‌توانی گریفیندور را انتخاب کنی.")</f>
        <v>اما، گوش کن، اگر واقعاً اینقدر برایت مهم است، می‌توانی گریفیندور را انتخاب کنی.</v>
      </c>
    </row>
    <row r="1019" spans="1:1" ht="15.75" customHeight="1" x14ac:dyDescent="0.3">
      <c r="A1019" s="1" t="str">
        <f ca="1">IFERROR(__xludf.DUMMYFUNCTION("ARRAYFORMULA(GOOGLETRANSLATE(A:A, ""auto"", ""fa""))
"),"کلاه گروه‌بندی، انتخاب شما را در نظر می‌گیرد.")</f>
        <v>کلاه گروه‌بندی، انتخاب شما را در نظر می‌گیرد.</v>
      </c>
    </row>
    <row r="1020" spans="1:1" ht="15.75" customHeight="1" x14ac:dyDescent="0.3">
      <c r="A1020" s="1" t="str">
        <f ca="1">IFERROR(__xludf.DUMMYFUNCTION("ARRAYFORMULA(GOOGLETRANSLATE(A:A, ""auto"", ""fa""))
"),"واقعاً؟
واقعاً.")</f>
        <v>واقعاً؟
واقعاً.</v>
      </c>
    </row>
    <row r="1021" spans="1:1" ht="15.75" customHeight="1" x14ac:dyDescent="0.3">
      <c r="A1021" s="1" t="str">
        <f ca="1">IFERROR(__xludf.DUMMYFUNCTION("ARRAYFORMULA(GOOGLETRANSLATE(A:A, ""auto"", ""fa""))
"),"&lt;font color=""#FFFF00""&gt;(صدای سوت)&lt;/font&gt;")</f>
        <v>&lt;font color="#FFFF00"&gt;(صدای سوت)&lt;/font&gt;</v>
      </c>
    </row>
    <row r="1022" spans="1:1" ht="15.75" customHeight="1" x14ac:dyDescent="0.3">
      <c r="A1022" s="1" t="str">
        <f ca="1">IFERROR(__xludf.DUMMYFUNCTION("ARRAYFORMULA(GOOGLETRANSLATE(A:A, ""auto"", ""fa""))
"),"&lt;font color=""#FF0000""&gt;دختر:&lt;/font&gt; خداحافظ مامان.
&lt;font color=""#FF0000""&gt;رهبر ارکستر:&lt;/font&gt; همه سوار شوید.")</f>
        <v>&lt;font color="#FF0000"&gt;دختر:&lt;/font&gt; خداحافظ مامان.
&lt;font color="#FF0000"&gt;رهبر ارکستر:&lt;/font&gt; همه سوار شوید.</v>
      </c>
    </row>
    <row r="1023" spans="1:1" ht="15.75" customHeight="1" x14ac:dyDescent="0.3">
      <c r="A1023" s="1" t="str">
        <f ca="1">IFERROR(__xludf.DUMMYFUNCTION("ARRAYFORMULA(GOOGLETRANSLATE(A:A, ""auto"", ""fa""))
"),"آماده‌ای؟")</f>
        <v>آماده‌ای؟</v>
      </c>
    </row>
    <row r="1024" spans="1:1" ht="15.75" customHeight="1" x14ac:dyDescent="0.3">
      <c r="A1024" s="1" t="str">
        <f ca="1">IFERROR(__xludf.DUMMYFUNCTION("ARRAYFORMULA(GOOGLETRANSLATE(A:A, ""auto"", ""fa""))
"),"۱۰۲۳:
آماده.")</f>
        <v>۱۰۲۳:
آماده.</v>
      </c>
    </row>
    <row r="1025" spans="1:1" ht="15.75" customHeight="1" x14ac:dyDescent="0.3">
      <c r="A1025" s="1" t="str">
        <f ca="1">IFERROR(__xludf.DUMMYFUNCTION("ARRAYFORMULA(GOOGLETRANSLATE(A:A, ""auto"", ""fa""))
"),"&lt;font color=""#FF0000""&gt;پسر:&lt;/font&gt; بیخیال جی، یه حرکتی بزن.")</f>
        <v>&lt;font color="#FF0000"&gt;پسر:&lt;/font&gt; بیخیال جی، یه حرکتی بزن.</v>
      </c>
    </row>
    <row r="1026" spans="1:1" ht="15.75" customHeight="1" x14ac:dyDescent="0.3">
      <c r="A1026" s="1" t="str">
        <f ca="1">IFERROR(__xludf.DUMMYFUNCTION("ARRAYFORMULA(GOOGLETRANSLATE(A:A, ""auto"", ""fa""))
"),"&lt;font color=""#FF0000""&gt;جیمز:&lt;/font&gt; بیا دیگه.")</f>
        <v>&lt;font color="#FF0000"&gt;جیمز:&lt;/font&gt; بیا دیگه.</v>
      </c>
    </row>
    <row r="1027" spans="1:1" ht="15.75" customHeight="1" x14ac:dyDescent="0.3">
      <c r="A1027" s="1" t="str">
        <f ca="1">IFERROR(__xludf.DUMMYFUNCTION("ARRAYFORMULA(GOOGLETRANSLATE(A:A, ""auto"", ""fa""))
"),"&lt;font color=""#FFFF00""&gt;(صدای قورباغه)&lt;/font&gt;")</f>
        <v>&lt;font color="#FFFF00"&gt;(صدای قورباغه)&lt;/font&gt;</v>
      </c>
    </row>
    <row r="1028" spans="1:1" ht="15.75" customHeight="1" x14ac:dyDescent="0.3">
      <c r="A1028" s="1" t="str">
        <f ca="1">IFERROR(__xludf.DUMMYFUNCTION("ARRAYFORMULA(GOOGLETRANSLATE(A:A, ""auto"", ""fa""))
"),"&lt;font color=""#FFFF00""&gt;(صدای پچ پچ مردم)&lt;/font&gt;")</f>
        <v>&lt;font color="#FFFF00"&gt;(صدای پچ پچ مردم)&lt;/font&gt;</v>
      </c>
    </row>
    <row r="1029" spans="1:1" ht="15.75" customHeight="1" x14ac:dyDescent="0.3">
      <c r="A1029" s="1" t="str">
        <f ca="1">IFERROR(__xludf.DUMMYFUNCTION("ARRAYFORMULA(GOOGLETRANSLATE(A:A, ""auto"", ""fa""))
"),"&lt;b&gt;&lt;u&gt;&lt;i&gt;&lt;font color=""#FFA500""&gt;رنگی&lt;/font&gt; &lt;font color=""#FFFFFF""&gt;سلام&lt;/font&gt; &lt;font color=""#00FF00""&gt;SidBrothers_3&lt;/font&gt;&lt;/i&gt;&lt;/u&gt;&lt;b&gt;")</f>
        <v>&lt;b&gt;&lt;u&gt;&lt;i&gt;&lt;font color="#FFA500"&gt;رنگی&lt;/font&gt; &lt;font color="#FFFFFF"&gt;سلام&lt;/font&gt; &lt;font color="#00FF00"&gt;SidBrothers_3&lt;/font&gt;&lt;/i&gt;&lt;/u&gt;&lt;b&gt;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</cp:lastModifiedBy>
  <dcterms:modified xsi:type="dcterms:W3CDTF">2025-11-17T18:55:29Z</dcterms:modified>
</cp:coreProperties>
</file>